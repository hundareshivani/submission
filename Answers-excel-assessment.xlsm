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Shivani\Downloads\"/>
    </mc:Choice>
  </mc:AlternateContent>
  <xr:revisionPtr revIDLastSave="0" documentId="13_ncr:1_{066A456D-DE1C-4F10-B581-619145A93F83}"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Dataset!$A$1:$Y$40</definedName>
    <definedName name="_xlnm.Criteria" localSheetId="1">Dataset!$AA$1:$AA$23</definedName>
    <definedName name="_xlnm.Extract" localSheetId="1">Dataset!$AB$1:$AZ$1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5" i="20" l="1" a="1"/>
  <c r="C25" i="20" s="1"/>
  <c r="C26" i="20" a="1"/>
  <c r="C26" i="20"/>
  <c r="C27" i="20" a="1"/>
  <c r="C27" i="20" s="1"/>
  <c r="C28" i="20" a="1"/>
  <c r="C28" i="20"/>
  <c r="C29" i="20" a="1"/>
  <c r="C29" i="20" s="1"/>
  <c r="C30" i="20" a="1"/>
  <c r="C30" i="20"/>
  <c r="C31" i="20" a="1"/>
  <c r="C31" i="20" s="1"/>
  <c r="C32" i="20" a="1"/>
  <c r="C32" i="20"/>
  <c r="C33" i="20" a="1"/>
  <c r="C33" i="20" s="1"/>
  <c r="C34" i="20" a="1"/>
  <c r="C34" i="20"/>
  <c r="C35" i="20" a="1"/>
  <c r="C35" i="20" s="1"/>
  <c r="C24" i="20" a="1"/>
  <c r="C24" i="20" s="1"/>
  <c r="C23" i="20" a="1"/>
  <c r="C23" i="20" s="1"/>
  <c r="B16" i="16"/>
  <c r="F16" i="16"/>
  <c r="E16" i="16"/>
  <c r="E17" i="16"/>
  <c r="D16" i="16"/>
  <c r="C16" i="16"/>
  <c r="C22" i="19"/>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C30" i="18"/>
  <c r="D30" i="18"/>
  <c r="E30" i="18"/>
  <c r="F30" i="18"/>
  <c r="C29" i="18"/>
  <c r="D29" i="18"/>
  <c r="E29" i="18"/>
  <c r="F29" i="18"/>
  <c r="C28" i="18"/>
  <c r="D28" i="18"/>
  <c r="E28" i="18"/>
  <c r="F28" i="18"/>
  <c r="B30" i="18"/>
  <c r="B29" i="18"/>
  <c r="B28" i="18"/>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3" i="1"/>
  <c r="Y2" i="1"/>
  <c r="C5" i="15"/>
  <c r="I43" i="1"/>
</calcChain>
</file>

<file path=xl/sharedStrings.xml><?xml version="1.0" encoding="utf-8"?>
<sst xmlns="http://schemas.openxmlformats.org/spreadsheetml/2006/main" count="468" uniqueCount="206">
  <si>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</si>
  <si>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</si>
  <si>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</si>
  <si>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</si>
  <si>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</si>
  <si>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</si>
  <si>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</si>
  <si>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</si>
  <si>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</si>
  <si>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</si>
  <si>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</si>
  <si>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</si>
  <si>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</si>
  <si>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</si>
  <si>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</si>
  <si>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</si>
  <si>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</si>
  <si>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</si>
  <si>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</si>
  <si>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</si>
  <si>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</si>
  <si>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</si>
  <si>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</si>
  <si>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</si>
  <si>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</si>
  <si>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</si>
  <si>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</si>
  <si>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</si>
  <si>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</si>
  <si>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</si>
  <si>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</si>
  <si>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</si>
  <si>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</si>
  <si>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</si>
  <si>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</si>
  <si>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</si>
  <si>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</si>
  <si>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</si>
  <si>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</si>
  <si>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</si>
  <si>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</si>
  <si>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</si>
  <si>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</si>
  <si>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</si>
  <si>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</si>
  <si>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</si>
  <si>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</si>
  <si>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</si>
  <si>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</si>
  <si>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</si>
  <si>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</si>
  <si>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</si>
  <si>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</si>
  <si>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</si>
  <si>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</si>
  <si>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</si>
  <si>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</si>
  <si>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</si>
  <si>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</si>
  <si>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</si>
  <si>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</si>
  <si>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</si>
  <si>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</si>
  <si>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</si>
  <si>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</si>
  <si>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</si>
  <si>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</si>
  <si>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</si>
  <si>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</si>
  <si>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</si>
  <si>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</si>
  <si>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</si>
  <si>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</si>
  <si>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</si>
  <si>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</si>
  <si>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</si>
  <si>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</si>
  <si>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</si>
  <si>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</si>
  <si>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</si>
  <si>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</si>
  <si>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</si>
  <si>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</si>
  <si>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</si>
  <si>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</si>
  <si>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</si>
  <si>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</si>
  <si>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</si>
  <si>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</si>
  <si>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</si>
  <si>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</si>
  <si>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</si>
  <si>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</si>
  <si>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</si>
  <si>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</si>
  <si>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</si>
  <si>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</si>
  <si>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</si>
  <si>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</si>
  <si>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</si>
  <si>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</si>
  <si>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</si>
  <si>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</si>
  <si>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</si>
  <si>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</si>
  <si>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</si>
  <si>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</si>
  <si>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</si>
  <si>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</si>
  <si>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</si>
  <si>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</si>
  <si>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</si>
  <si>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</si>
  <si>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</si>
  <si>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</si>
  <si>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</si>
  <si>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</si>
  <si>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</si>
  <si>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</si>
  <si>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</si>
  <si>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</si>
  <si>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</si>
  <si>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</si>
  <si>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</si>
  <si>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</si>
  <si>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</si>
  <si>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</si>
  <si>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</si>
  <si>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</si>
  <si>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</si>
  <si>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</si>
  <si>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</si>
  <si>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</si>
  <si>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</si>
  <si>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</si>
  <si>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</si>
  <si>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</si>
  <si>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</si>
  <si>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</si>
  <si>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</si>
  <si>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</si>
  <si>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</si>
  <si>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</si>
  <si>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</si>
  <si>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</si>
  <si>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</si>
  <si>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</si>
  <si>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</si>
  <si>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</si>
  <si>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</si>
  <si>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</si>
  <si>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</si>
  <si>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</si>
  <si>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</si>
  <si>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</si>
  <si>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</si>
  <si>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</si>
  <si>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</si>
  <si>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</si>
  <si>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</si>
  <si>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</si>
  <si>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</si>
  <si>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</si>
  <si>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</si>
  <si>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</si>
  <si>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</si>
  <si>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</si>
  <si>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</si>
  <si>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</si>
  <si>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</si>
  <si>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</si>
  <si>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</si>
  <si>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</si>
  <si>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</si>
  <si>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</si>
  <si>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date (YYYY-MM-DD)</t>
  </si>
  <si>
    <t>2023-05-05</t>
  </si>
  <si>
    <t>2023-05-02</t>
  </si>
  <si>
    <t>2023-05-09</t>
  </si>
  <si>
    <t>2023-05-13</t>
  </si>
  <si>
    <t>2023-05-06</t>
  </si>
  <si>
    <t>2023-06-21</t>
  </si>
  <si>
    <t>2023-06-27</t>
  </si>
  <si>
    <t>2023-07-09</t>
  </si>
  <si>
    <t>2023-07-03</t>
  </si>
  <si>
    <t>2023-07-06</t>
  </si>
  <si>
    <t>2023-05-25</t>
  </si>
  <si>
    <t>2023-06-22</t>
  </si>
  <si>
    <t>2023-06-14</t>
  </si>
  <si>
    <t>2023-06-02</t>
  </si>
  <si>
    <t>2023-08-04</t>
  </si>
  <si>
    <t>2023-08-08</t>
  </si>
  <si>
    <t>2023-08-12</t>
  </si>
  <si>
    <t>2023-08-19</t>
  </si>
  <si>
    <t>2023-08-05</t>
  </si>
  <si>
    <t>2023-08-24</t>
  </si>
  <si>
    <t>=SUM(C12:C21)</t>
  </si>
  <si>
    <t>=TEXT(LEFT(A16, SEARCH("-", A16) - 1), "0")</t>
  </si>
  <si>
    <t>=MID(A16, SEARCH("-", A16) + 1, SEARCH("-", A16, SEARCH("-", A16) + 1) - SEARCH("-", A16) - 1)</t>
  </si>
  <si>
    <t>=MID(A16, SEARCH("-", A16, SEARCH("-", A16) + 1) + 1, SEARCH("-", A16, SEARCH("-", A16, SEARCH("-", A16) + 1) + 1) - SEARCH("-", A16, SEARCH("-", A16) + 1) - 1)</t>
  </si>
  <si>
    <t>=MID(A16, SEARCH("-", A16, SEARCH("-", A16, SEARCH("-", A16) + 1) + 1) + 1, SEARCH("-", A16, SEARCH("-", A16, SEARCH("-", A16, SEARCH("-", A16) + 1) + 1) + 1) - SEARCH("-", A16, SEARCH("-", A16, SEARCH("-", A16) + 1) + 1) - 1)</t>
  </si>
  <si>
    <t>=MID(A16, SEARCH("-", A16, SEARCH("-", A16, SEARCH("-", A16, SEARCH("-", A16) + 1) + 1) + 1) + 1, LEN(A16) - SEARCH("-", A16, SEARCH("-", A16, SEARCH("-", A16, SEARCH("-", A16) + 1) + 1) + 1))</t>
  </si>
  <si>
    <t>col_1: Uses the LEFT function to extract characters from the left until the first hyphen.
col_3:Uses the MID and SEARCH functions to extract characters between the first and second hyphens.
Uses the MID and SEARCH functions to extract characters between the second and third hyphens.
Uses the MID and SEARCH functions to extract characters between the third and fourth hyphens.
Uses the MID, SEARCH, and LEN functions to extract characters after the fourth hyphen until the end of the string.</t>
  </si>
  <si>
    <t>SUM function is used to add up a range of numbers.</t>
  </si>
  <si>
    <t>name1</t>
  </si>
  <si>
    <t>name2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</si>
</sst>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59999389629810485"/>
        <bgColor indexed="64"/>
      </patternFill>
    </fill>
    <fill>
      <patternFill patternType="solid">
        <fgColor theme="0"/>
        <bgColor rgb="FF000000"/>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5" borderId="0" xfId="0" applyFont="1" applyFill="1"/>
    <xf numFmtId="0" fontId="7" fillId="6" borderId="0" xfId="0" applyFont="1" applyFill="1"/>
    <xf numFmtId="0" fontId="3" fillId="7" borderId="0" xfId="0" applyFont="1" applyFill="1"/>
    <xf numFmtId="0" fontId="7" fillId="7" borderId="0" xfId="0" applyFont="1" applyFill="1"/>
    <xf numFmtId="0" fontId="3" fillId="0" borderId="6" xfId="0" applyFont="1" applyBorder="1" applyAlignment="1">
      <alignment horizontal="right"/>
    </xf>
    <xf numFmtId="0" fontId="3" fillId="0" borderId="0" xfId="0" quotePrefix="1" applyFont="1"/>
    <xf numFmtId="0" fontId="15" fillId="0" borderId="0" xfId="0" quotePrefix="1" applyFont="1" applyAlignment="1">
      <alignment wrapText="1"/>
    </xf>
    <xf numFmtId="0" fontId="3" fillId="0" borderId="0" xfId="0" quotePrefix="1"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9"/>
      <tableStyleElement type="headerRow" dxfId="3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5" sqref="A5"/>
    </sheetView>
  </sheetViews>
  <sheetFormatPr defaultColWidth="11" defaultRowHeight="13.8" x14ac:dyDescent="0.3"/>
  <cols>
    <col min="1" max="1" width="70.77734375" style="2" bestFit="1" customWidth="1"/>
    <col min="2" max="16384" width="11" style="2"/>
  </cols>
  <sheetData>
    <row r="1" spans="1:3" ht="18" x14ac:dyDescent="0.35">
      <c r="A1" s="37" t="s">
        <v>106</v>
      </c>
    </row>
    <row r="2" spans="1:3" x14ac:dyDescent="0.3">
      <c r="A2" s="2" t="s">
        <v>107</v>
      </c>
    </row>
    <row r="3" spans="1:3" x14ac:dyDescent="0.3">
      <c r="A3" s="2" t="s">
        <v>108</v>
      </c>
    </row>
    <row r="4" spans="1:3" ht="14.4" x14ac:dyDescent="0.3">
      <c r="A4" s="2" t="s">
        <v>109</v>
      </c>
      <c r="C4" s="1"/>
    </row>
    <row r="5" spans="1:3" x14ac:dyDescent="0.3">
      <c r="A5" s="2" t="s">
        <v>150</v>
      </c>
    </row>
    <row r="8" spans="1:3" x14ac:dyDescent="0.3">
      <c r="A8" s="2" t="s">
        <v>171</v>
      </c>
    </row>
    <row r="9" spans="1:3" x14ac:dyDescent="0.3">
      <c r="A9" s="34" t="s">
        <v>169</v>
      </c>
      <c r="B9" s="24" t="s">
        <v>167</v>
      </c>
    </row>
    <row r="10" spans="1:3" x14ac:dyDescent="0.3">
      <c r="A10" s="33" t="s">
        <v>170</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168</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F43"/>
  <sheetViews>
    <sheetView topLeftCell="AF1" zoomScaleNormal="100" workbookViewId="0">
      <pane ySplit="1" topLeftCell="A2" activePane="bottomLeft" state="frozen"/>
      <selection pane="bottomLeft" activeCell="AX2" sqref="AX2:AX23"/>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25" width="18.109375" style="1" bestFit="1" customWidth="1"/>
    <col min="26" max="26" width="25.44140625" style="1" bestFit="1" customWidth="1"/>
    <col min="27" max="27" width="16.6640625" style="1" bestFit="1" customWidth="1"/>
    <col min="28" max="31" width="9" style="1"/>
    <col min="32" max="32" width="16.6640625" style="1" bestFit="1" customWidth="1"/>
    <col min="33" max="50" width="9" style="1"/>
    <col min="51" max="51" width="10.33203125" style="1" bestFit="1" customWidth="1"/>
    <col min="52" max="16384" width="9" style="1"/>
  </cols>
  <sheetData>
    <row r="1" spans="1:58"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103</v>
      </c>
      <c r="Y1" s="3" t="s">
        <v>175</v>
      </c>
      <c r="Z1" s="26"/>
      <c r="AA1" s="18" t="s">
        <v>64</v>
      </c>
      <c r="AB1" s="26" t="s">
        <v>64</v>
      </c>
      <c r="AC1" s="26" t="s">
        <v>43</v>
      </c>
      <c r="AD1" s="26" t="s">
        <v>0</v>
      </c>
      <c r="AE1" s="27" t="s">
        <v>1</v>
      </c>
      <c r="AF1" s="26" t="s">
        <v>2</v>
      </c>
      <c r="AG1" s="27" t="s">
        <v>3</v>
      </c>
      <c r="AH1" s="28" t="s">
        <v>79</v>
      </c>
      <c r="AI1" s="28" t="s">
        <v>65</v>
      </c>
      <c r="AJ1" s="28" t="s">
        <v>66</v>
      </c>
      <c r="AK1" s="29" t="s">
        <v>67</v>
      </c>
      <c r="AL1" s="29" t="s">
        <v>68</v>
      </c>
      <c r="AM1" s="29" t="s">
        <v>69</v>
      </c>
      <c r="AN1" s="28" t="s">
        <v>70</v>
      </c>
      <c r="AO1" s="28" t="s">
        <v>71</v>
      </c>
      <c r="AP1" s="28" t="s">
        <v>72</v>
      </c>
      <c r="AQ1" s="29" t="s">
        <v>73</v>
      </c>
      <c r="AR1" s="29" t="s">
        <v>74</v>
      </c>
      <c r="AS1" s="29" t="s">
        <v>75</v>
      </c>
      <c r="AT1" s="28" t="s">
        <v>80</v>
      </c>
      <c r="AU1" s="28" t="s">
        <v>76</v>
      </c>
      <c r="AV1" s="29" t="s">
        <v>81</v>
      </c>
      <c r="AW1" s="29" t="s">
        <v>77</v>
      </c>
      <c r="AX1" s="29" t="s">
        <v>78</v>
      </c>
      <c r="AY1" s="3" t="s">
        <v>103</v>
      </c>
      <c r="AZ1" s="3" t="s">
        <v>175</v>
      </c>
    </row>
    <row r="2" spans="1:58" x14ac:dyDescent="0.3">
      <c r="A2" s="22"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c r="Y2" s="1" t="str">
        <f>TEXT(X2:X40, "YYYY-MM-DD")</f>
        <v>2023-05-05</v>
      </c>
      <c r="Z2" s="22"/>
      <c r="AA2" s="7" t="s">
        <v>40</v>
      </c>
      <c r="AB2" s="22" t="s">
        <v>40</v>
      </c>
      <c r="AC2" s="1">
        <v>20000</v>
      </c>
      <c r="AD2" s="1" t="s">
        <v>5</v>
      </c>
      <c r="AE2" s="22">
        <v>0</v>
      </c>
      <c r="AF2" s="1" t="s">
        <v>6</v>
      </c>
      <c r="AG2" s="22">
        <v>0.99998842592592596</v>
      </c>
      <c r="AH2" s="1">
        <v>2.7</v>
      </c>
      <c r="AI2" s="1">
        <v>3.6</v>
      </c>
      <c r="AJ2" s="1">
        <v>4.2</v>
      </c>
      <c r="AK2" s="1">
        <v>-1</v>
      </c>
      <c r="AL2" s="1">
        <v>-1</v>
      </c>
      <c r="AM2" s="1">
        <v>-1</v>
      </c>
      <c r="AN2" s="1">
        <v>5.3</v>
      </c>
      <c r="AO2" s="1">
        <v>7.6</v>
      </c>
      <c r="AP2" s="1">
        <v>8.9</v>
      </c>
      <c r="AQ2" s="1">
        <v>2.7</v>
      </c>
      <c r="AR2" s="1">
        <v>3.6</v>
      </c>
      <c r="AS2" s="1">
        <v>4.2</v>
      </c>
      <c r="AT2" s="1">
        <v>7.6</v>
      </c>
      <c r="AU2" s="1">
        <v>8.9</v>
      </c>
      <c r="AV2" s="1">
        <v>3.6</v>
      </c>
      <c r="AW2" s="1">
        <v>4.2</v>
      </c>
      <c r="AX2" s="1">
        <v>4.2</v>
      </c>
      <c r="AY2" s="25">
        <v>45051</v>
      </c>
      <c r="AZ2" s="1" t="s">
        <v>176</v>
      </c>
      <c r="BA2" s="44"/>
      <c r="BB2" s="44"/>
      <c r="BC2" s="44"/>
      <c r="BD2" s="44"/>
      <c r="BE2" s="46"/>
      <c r="BF2" s="3"/>
    </row>
    <row r="3" spans="1:58"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c r="Y3" s="1" t="str">
        <f>TEXT(X3:X41, "YYYY-MM-DD")</f>
        <v>2023-05-02</v>
      </c>
      <c r="AA3" s="7" t="s">
        <v>4</v>
      </c>
      <c r="AB3" s="1" t="s">
        <v>4</v>
      </c>
      <c r="AC3" s="1">
        <v>20002</v>
      </c>
      <c r="AD3" s="1" t="s">
        <v>5</v>
      </c>
      <c r="AE3" s="22">
        <v>0</v>
      </c>
      <c r="AF3" s="1" t="s">
        <v>6</v>
      </c>
      <c r="AG3" s="22">
        <v>0.99998842592592596</v>
      </c>
      <c r="AH3" s="1">
        <v>2.7</v>
      </c>
      <c r="AI3" s="1">
        <v>3.6</v>
      </c>
      <c r="AJ3" s="1">
        <v>4.2</v>
      </c>
      <c r="AK3" s="1">
        <v>-1</v>
      </c>
      <c r="AL3" s="1">
        <v>-1</v>
      </c>
      <c r="AM3" s="1">
        <v>-1</v>
      </c>
      <c r="AN3" s="1">
        <v>5.3</v>
      </c>
      <c r="AO3" s="1">
        <v>7.6</v>
      </c>
      <c r="AP3" s="1">
        <v>8.9</v>
      </c>
      <c r="AQ3" s="1">
        <v>2.7</v>
      </c>
      <c r="AR3" s="1">
        <v>3.6</v>
      </c>
      <c r="AS3" s="1">
        <v>4.2</v>
      </c>
      <c r="AT3" s="1">
        <v>7.6</v>
      </c>
      <c r="AU3" s="1">
        <v>8.9</v>
      </c>
      <c r="AV3" s="1">
        <v>3.6</v>
      </c>
      <c r="AW3" s="1">
        <v>4.2</v>
      </c>
      <c r="AX3" s="1">
        <v>4.2</v>
      </c>
      <c r="AY3" s="25">
        <v>45048</v>
      </c>
      <c r="AZ3" s="1" t="s">
        <v>177</v>
      </c>
      <c r="BA3" s="45"/>
      <c r="BB3" s="45"/>
      <c r="BC3" s="45"/>
      <c r="BD3" s="45"/>
      <c r="BE3" s="45"/>
    </row>
    <row r="4" spans="1:58"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c r="Y4" s="1" t="str">
        <f t="shared" ref="Y4:Y42" si="0">TEXT(X4:X42, "YYYY-MM-DD")</f>
        <v>2023-05-09</v>
      </c>
      <c r="AA4" s="7" t="s">
        <v>7</v>
      </c>
      <c r="AB4" s="1" t="s">
        <v>7</v>
      </c>
      <c r="AC4" s="1">
        <v>20004</v>
      </c>
      <c r="AD4" s="1" t="s">
        <v>5</v>
      </c>
      <c r="AE4" s="22">
        <v>0</v>
      </c>
      <c r="AF4" s="1" t="s">
        <v>6</v>
      </c>
      <c r="AG4" s="22">
        <v>0.99998842592592596</v>
      </c>
      <c r="AH4" s="1">
        <v>3.6</v>
      </c>
      <c r="AI4" s="1">
        <v>5.4</v>
      </c>
      <c r="AJ4" s="1">
        <v>5.8</v>
      </c>
      <c r="AK4" s="1">
        <v>-1</v>
      </c>
      <c r="AL4" s="1">
        <v>-1</v>
      </c>
      <c r="AM4" s="1">
        <v>-1</v>
      </c>
      <c r="AN4" s="1">
        <v>7.6</v>
      </c>
      <c r="AO4" s="1">
        <v>11.1</v>
      </c>
      <c r="AP4" s="1">
        <v>12.2</v>
      </c>
      <c r="AQ4" s="1">
        <v>3.6</v>
      </c>
      <c r="AR4" s="1">
        <v>5.4</v>
      </c>
      <c r="AS4" s="1">
        <v>5.8</v>
      </c>
      <c r="AT4" s="1">
        <v>11.1</v>
      </c>
      <c r="AU4" s="1">
        <v>12.2</v>
      </c>
      <c r="AV4" s="1">
        <v>5.4</v>
      </c>
      <c r="AW4" s="1">
        <v>5.8</v>
      </c>
      <c r="AX4" s="1">
        <v>5.8</v>
      </c>
      <c r="AY4" s="25">
        <v>45055</v>
      </c>
      <c r="AZ4" s="1" t="s">
        <v>178</v>
      </c>
    </row>
    <row r="5" spans="1:58"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c r="Y5" s="1" t="str">
        <f t="shared" si="0"/>
        <v>2023-05-13</v>
      </c>
      <c r="AA5" s="7" t="s">
        <v>8</v>
      </c>
      <c r="AB5" s="1" t="s">
        <v>8</v>
      </c>
      <c r="AC5" s="1">
        <v>20006</v>
      </c>
      <c r="AD5" s="1" t="s">
        <v>5</v>
      </c>
      <c r="AE5" s="22">
        <v>0</v>
      </c>
      <c r="AF5" s="1" t="s">
        <v>6</v>
      </c>
      <c r="AG5" s="22">
        <v>0.99998842592592596</v>
      </c>
      <c r="AH5" s="1">
        <v>4.9000000000000004</v>
      </c>
      <c r="AI5" s="1">
        <v>6.6</v>
      </c>
      <c r="AJ5" s="1">
        <v>8.1</v>
      </c>
      <c r="AK5" s="1">
        <v>-1</v>
      </c>
      <c r="AL5" s="1">
        <v>-1</v>
      </c>
      <c r="AM5" s="1">
        <v>-1</v>
      </c>
      <c r="AN5" s="1">
        <v>10</v>
      </c>
      <c r="AO5" s="1">
        <v>13.3</v>
      </c>
      <c r="AP5" s="1">
        <v>17</v>
      </c>
      <c r="AQ5" s="1">
        <v>4.9000000000000004</v>
      </c>
      <c r="AR5" s="1">
        <v>6.6</v>
      </c>
      <c r="AS5" s="1">
        <v>8.1</v>
      </c>
      <c r="AT5" s="1">
        <v>13.3</v>
      </c>
      <c r="AU5" s="1">
        <v>17</v>
      </c>
      <c r="AV5" s="1">
        <v>6.6</v>
      </c>
      <c r="AW5" s="1">
        <v>8.1</v>
      </c>
      <c r="AX5" s="1">
        <v>8.1</v>
      </c>
      <c r="AY5" s="25">
        <v>45059</v>
      </c>
      <c r="AZ5" s="1" t="s">
        <v>179</v>
      </c>
    </row>
    <row r="6" spans="1:58"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c r="Y6" s="1" t="str">
        <f t="shared" si="0"/>
        <v>2023-05-30</v>
      </c>
      <c r="AA6" s="7" t="s">
        <v>11</v>
      </c>
      <c r="AB6" s="1" t="s">
        <v>11</v>
      </c>
      <c r="AC6" s="1">
        <v>20012</v>
      </c>
      <c r="AD6" s="1" t="s">
        <v>5</v>
      </c>
      <c r="AE6" s="22">
        <v>0</v>
      </c>
      <c r="AF6" s="1" t="s">
        <v>6</v>
      </c>
      <c r="AG6" s="22">
        <v>0.99998842592592596</v>
      </c>
      <c r="AH6" s="1">
        <v>9.4</v>
      </c>
      <c r="AI6" s="1">
        <v>13.8</v>
      </c>
      <c r="AJ6" s="1">
        <v>16.100000000000001</v>
      </c>
      <c r="AK6" s="1">
        <v>-1</v>
      </c>
      <c r="AL6" s="1">
        <v>-1</v>
      </c>
      <c r="AM6" s="1">
        <v>-1</v>
      </c>
      <c r="AN6" s="1">
        <v>19.2</v>
      </c>
      <c r="AO6" s="1">
        <v>28.3</v>
      </c>
      <c r="AP6" s="1">
        <v>32.799999999999997</v>
      </c>
      <c r="AQ6" s="1">
        <v>9.4</v>
      </c>
      <c r="AR6" s="1">
        <v>13.8</v>
      </c>
      <c r="AS6" s="1">
        <v>16.100000000000001</v>
      </c>
      <c r="AT6" s="1">
        <v>28.3</v>
      </c>
      <c r="AU6" s="1">
        <v>32.799999999999997</v>
      </c>
      <c r="AV6" s="1">
        <v>13.8</v>
      </c>
      <c r="AW6" s="1">
        <v>16.100000000000001</v>
      </c>
      <c r="AX6" s="1">
        <v>16.100000000000001</v>
      </c>
      <c r="AY6" s="25">
        <v>45052</v>
      </c>
      <c r="AZ6" s="1" t="s">
        <v>180</v>
      </c>
    </row>
    <row r="7" spans="1:58"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c r="Y7" s="1" t="str">
        <f t="shared" si="0"/>
        <v>2023-05-11</v>
      </c>
      <c r="AA7" s="7" t="s">
        <v>12</v>
      </c>
      <c r="AB7" s="1" t="s">
        <v>12</v>
      </c>
      <c r="AC7" s="1">
        <v>20014</v>
      </c>
      <c r="AD7" s="1" t="s">
        <v>5</v>
      </c>
      <c r="AE7" s="22">
        <v>0</v>
      </c>
      <c r="AF7" s="1" t="s">
        <v>6</v>
      </c>
      <c r="AG7" s="22">
        <v>0.99998842592592596</v>
      </c>
      <c r="AH7" s="1">
        <v>11.6</v>
      </c>
      <c r="AI7" s="1">
        <v>17.3</v>
      </c>
      <c r="AJ7" s="1">
        <v>21.3</v>
      </c>
      <c r="AK7" s="1">
        <v>-1</v>
      </c>
      <c r="AL7" s="1">
        <v>-1</v>
      </c>
      <c r="AM7" s="1">
        <v>-1</v>
      </c>
      <c r="AN7" s="1">
        <v>23.6</v>
      </c>
      <c r="AO7" s="1">
        <v>35.200000000000003</v>
      </c>
      <c r="AP7" s="1">
        <v>43</v>
      </c>
      <c r="AQ7" s="1">
        <v>11.6</v>
      </c>
      <c r="AR7" s="1">
        <v>17.3</v>
      </c>
      <c r="AS7" s="1">
        <v>21.3</v>
      </c>
      <c r="AT7" s="1">
        <v>35.200000000000003</v>
      </c>
      <c r="AU7" s="1">
        <v>43</v>
      </c>
      <c r="AV7" s="1">
        <v>17.3</v>
      </c>
      <c r="AW7" s="1">
        <v>21.3</v>
      </c>
      <c r="AX7" s="1">
        <v>21.3</v>
      </c>
      <c r="AY7" s="25">
        <v>45098</v>
      </c>
      <c r="AZ7" s="1" t="s">
        <v>181</v>
      </c>
    </row>
    <row r="8" spans="1:58"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c r="Y8" s="1" t="str">
        <f t="shared" si="0"/>
        <v>2023-05-06</v>
      </c>
      <c r="AA8" s="7" t="s">
        <v>14</v>
      </c>
      <c r="AB8" s="1" t="s">
        <v>14</v>
      </c>
      <c r="AC8" s="1">
        <v>20018</v>
      </c>
      <c r="AD8" s="1" t="s">
        <v>5</v>
      </c>
      <c r="AE8" s="22">
        <v>0</v>
      </c>
      <c r="AF8" s="1" t="s">
        <v>6</v>
      </c>
      <c r="AG8" s="22">
        <v>0.99998842592592596</v>
      </c>
      <c r="AH8" s="1">
        <v>18.399999999999999</v>
      </c>
      <c r="AI8" s="1">
        <v>27.5</v>
      </c>
      <c r="AJ8" s="1">
        <v>33.799999999999997</v>
      </c>
      <c r="AK8" s="1">
        <v>-1</v>
      </c>
      <c r="AL8" s="1">
        <v>-1</v>
      </c>
      <c r="AM8" s="1">
        <v>-1</v>
      </c>
      <c r="AN8" s="1">
        <v>37.200000000000003</v>
      </c>
      <c r="AO8" s="1">
        <v>55.6</v>
      </c>
      <c r="AP8" s="1">
        <v>67.900000000000006</v>
      </c>
      <c r="AQ8" s="1">
        <v>18.399999999999999</v>
      </c>
      <c r="AR8" s="1">
        <v>27.5</v>
      </c>
      <c r="AS8" s="1">
        <v>33.799999999999997</v>
      </c>
      <c r="AT8" s="1">
        <v>55.6</v>
      </c>
      <c r="AU8" s="1">
        <v>67.900000000000006</v>
      </c>
      <c r="AV8" s="1">
        <v>27.5</v>
      </c>
      <c r="AW8" s="1">
        <v>33.799999999999997</v>
      </c>
      <c r="AX8" s="1">
        <v>33.799999999999997</v>
      </c>
      <c r="AY8" s="25">
        <v>45104</v>
      </c>
      <c r="AZ8" s="1" t="s">
        <v>182</v>
      </c>
    </row>
    <row r="9" spans="1:58"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c r="Y9" s="1" t="str">
        <f t="shared" si="0"/>
        <v>2023-06-21</v>
      </c>
      <c r="AA9" s="7" t="s">
        <v>15</v>
      </c>
      <c r="AB9" s="1" t="s">
        <v>15</v>
      </c>
      <c r="AC9" s="1">
        <v>20020</v>
      </c>
      <c r="AD9" s="1" t="s">
        <v>5</v>
      </c>
      <c r="AE9" s="22">
        <v>0</v>
      </c>
      <c r="AF9" s="1" t="s">
        <v>6</v>
      </c>
      <c r="AG9" s="22">
        <v>0.99998842592592596</v>
      </c>
      <c r="AH9" s="1">
        <v>0</v>
      </c>
      <c r="AI9" s="1">
        <v>0</v>
      </c>
      <c r="AJ9" s="1">
        <v>0</v>
      </c>
      <c r="AK9" s="1">
        <v>0</v>
      </c>
      <c r="AL9" s="1">
        <v>0</v>
      </c>
      <c r="AM9" s="1">
        <v>0</v>
      </c>
      <c r="AN9" s="1">
        <v>0</v>
      </c>
      <c r="AO9" s="1">
        <v>0</v>
      </c>
      <c r="AP9" s="1">
        <v>0</v>
      </c>
      <c r="AQ9" s="1">
        <v>0</v>
      </c>
      <c r="AR9" s="1">
        <v>0</v>
      </c>
      <c r="AS9" s="1">
        <v>0</v>
      </c>
      <c r="AT9" s="1">
        <v>0</v>
      </c>
      <c r="AU9" s="1">
        <v>0</v>
      </c>
      <c r="AV9" s="1">
        <v>0</v>
      </c>
      <c r="AW9" s="1">
        <v>0</v>
      </c>
      <c r="AX9" s="1">
        <v>0</v>
      </c>
      <c r="AY9" s="25">
        <v>45116</v>
      </c>
      <c r="AZ9" s="1" t="s">
        <v>183</v>
      </c>
    </row>
    <row r="10" spans="1:58"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5">
        <v>45092</v>
      </c>
      <c r="Y10" s="1" t="str">
        <f t="shared" si="0"/>
        <v>2023-06-15</v>
      </c>
      <c r="AA10" s="7" t="s">
        <v>16</v>
      </c>
      <c r="AB10" s="1" t="s">
        <v>16</v>
      </c>
      <c r="AC10" s="1">
        <v>20022</v>
      </c>
      <c r="AD10" s="1" t="s">
        <v>5</v>
      </c>
      <c r="AE10" s="22">
        <v>0</v>
      </c>
      <c r="AF10" s="1" t="s">
        <v>6</v>
      </c>
      <c r="AG10" s="22">
        <v>0.99998842592592596</v>
      </c>
      <c r="AH10" s="1">
        <v>21.9</v>
      </c>
      <c r="AI10" s="1">
        <v>32.1</v>
      </c>
      <c r="AJ10" s="1">
        <v>40.1</v>
      </c>
      <c r="AK10" s="1">
        <v>-1</v>
      </c>
      <c r="AL10" s="1">
        <v>-1</v>
      </c>
      <c r="AM10" s="1">
        <v>-1</v>
      </c>
      <c r="AN10" s="1">
        <v>42.3</v>
      </c>
      <c r="AO10" s="1">
        <v>61.5</v>
      </c>
      <c r="AP10" s="1">
        <v>76.599999999999994</v>
      </c>
      <c r="AQ10" s="1">
        <v>21.9</v>
      </c>
      <c r="AR10" s="1">
        <v>32.1</v>
      </c>
      <c r="AS10" s="1">
        <v>40.1</v>
      </c>
      <c r="AT10" s="1">
        <v>61.5</v>
      </c>
      <c r="AU10" s="1">
        <v>76.599999999999994</v>
      </c>
      <c r="AV10" s="1">
        <v>32.1</v>
      </c>
      <c r="AW10" s="1">
        <v>40.1</v>
      </c>
      <c r="AX10" s="1">
        <v>40.1</v>
      </c>
      <c r="AY10" s="25">
        <v>45110</v>
      </c>
      <c r="AZ10" s="1" t="s">
        <v>184</v>
      </c>
    </row>
    <row r="11" spans="1:58"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5">
        <v>45104</v>
      </c>
      <c r="Y11" s="1" t="str">
        <f t="shared" si="0"/>
        <v>2023-06-27</v>
      </c>
      <c r="AA11" s="7" t="s">
        <v>18</v>
      </c>
      <c r="AB11" s="1" t="s">
        <v>18</v>
      </c>
      <c r="AC11" s="1">
        <v>20026</v>
      </c>
      <c r="AD11" s="1" t="s">
        <v>5</v>
      </c>
      <c r="AE11" s="22">
        <v>0</v>
      </c>
      <c r="AF11" s="1" t="s">
        <v>6</v>
      </c>
      <c r="AG11" s="22">
        <v>0.99998842592592596</v>
      </c>
      <c r="AH11" s="1">
        <v>26.8</v>
      </c>
      <c r="AI11" s="1">
        <v>39.299999999999997</v>
      </c>
      <c r="AJ11" s="1">
        <v>47.9</v>
      </c>
      <c r="AK11" s="1">
        <v>-1</v>
      </c>
      <c r="AL11" s="1">
        <v>-1</v>
      </c>
      <c r="AM11" s="1">
        <v>-1</v>
      </c>
      <c r="AN11" s="1">
        <v>54.6</v>
      </c>
      <c r="AO11" s="1">
        <v>79.599999999999994</v>
      </c>
      <c r="AP11" s="1">
        <v>96.8</v>
      </c>
      <c r="AQ11" s="1">
        <v>26.8</v>
      </c>
      <c r="AR11" s="1">
        <v>39.299999999999997</v>
      </c>
      <c r="AS11" s="1">
        <v>47.9</v>
      </c>
      <c r="AT11" s="1">
        <v>79.599999999999994</v>
      </c>
      <c r="AU11" s="1">
        <v>96.8</v>
      </c>
      <c r="AV11" s="1">
        <v>39.299999999999997</v>
      </c>
      <c r="AW11" s="1">
        <v>47.9</v>
      </c>
      <c r="AX11" s="1">
        <v>47.9</v>
      </c>
      <c r="AY11" s="25">
        <v>45113</v>
      </c>
      <c r="AZ11" s="1" t="s">
        <v>185</v>
      </c>
    </row>
    <row r="12" spans="1:58"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5">
        <v>45116</v>
      </c>
      <c r="Y12" s="1" t="str">
        <f t="shared" si="0"/>
        <v>2023-07-09</v>
      </c>
      <c r="AA12" s="7" t="s">
        <v>20</v>
      </c>
      <c r="AB12" s="1" t="s">
        <v>20</v>
      </c>
      <c r="AC12" s="1">
        <v>20030</v>
      </c>
      <c r="AD12" s="1" t="s">
        <v>5</v>
      </c>
      <c r="AE12" s="22">
        <v>0</v>
      </c>
      <c r="AF12" s="1" t="s">
        <v>6</v>
      </c>
      <c r="AG12" s="22">
        <v>0.99998842592592596</v>
      </c>
      <c r="AH12" s="1">
        <v>28.5</v>
      </c>
      <c r="AI12" s="1">
        <v>42.3</v>
      </c>
      <c r="AJ12" s="1">
        <v>52.3</v>
      </c>
      <c r="AK12" s="1">
        <v>-1</v>
      </c>
      <c r="AL12" s="1">
        <v>-1</v>
      </c>
      <c r="AM12" s="1">
        <v>-1</v>
      </c>
      <c r="AN12" s="1">
        <v>58.3</v>
      </c>
      <c r="AO12" s="1">
        <v>85.4</v>
      </c>
      <c r="AP12" s="1">
        <v>106.1</v>
      </c>
      <c r="AQ12" s="1">
        <v>28.5</v>
      </c>
      <c r="AR12" s="1">
        <v>42.3</v>
      </c>
      <c r="AS12" s="1">
        <v>52.3</v>
      </c>
      <c r="AT12" s="1">
        <v>85.4</v>
      </c>
      <c r="AU12" s="1">
        <v>106.1</v>
      </c>
      <c r="AV12" s="1">
        <v>42.3</v>
      </c>
      <c r="AW12" s="1">
        <v>52.3</v>
      </c>
      <c r="AX12" s="1">
        <v>52.3</v>
      </c>
      <c r="AY12" s="25">
        <v>45071</v>
      </c>
      <c r="AZ12" s="1" t="s">
        <v>186</v>
      </c>
    </row>
    <row r="13" spans="1:58"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5">
        <v>45110</v>
      </c>
      <c r="Y13" s="1" t="str">
        <f t="shared" si="0"/>
        <v>2023-07-03</v>
      </c>
      <c r="AA13" s="7" t="s">
        <v>22</v>
      </c>
      <c r="AB13" s="1" t="s">
        <v>22</v>
      </c>
      <c r="AC13" s="1">
        <v>20034</v>
      </c>
      <c r="AD13" s="1" t="s">
        <v>5</v>
      </c>
      <c r="AE13" s="22">
        <v>0</v>
      </c>
      <c r="AF13" s="1" t="s">
        <v>6</v>
      </c>
      <c r="AG13" s="22">
        <v>0.99998842592592596</v>
      </c>
      <c r="AH13" s="1">
        <v>30.7</v>
      </c>
      <c r="AI13" s="1">
        <v>45.5</v>
      </c>
      <c r="AJ13" s="1">
        <v>57</v>
      </c>
      <c r="AK13" s="1">
        <v>-1</v>
      </c>
      <c r="AL13" s="1">
        <v>-1</v>
      </c>
      <c r="AM13" s="1">
        <v>-1</v>
      </c>
      <c r="AN13" s="1">
        <v>62.5</v>
      </c>
      <c r="AO13" s="1">
        <v>92.1</v>
      </c>
      <c r="AP13" s="1">
        <v>115.1</v>
      </c>
      <c r="AQ13" s="1">
        <v>30.7</v>
      </c>
      <c r="AR13" s="1">
        <v>45.5</v>
      </c>
      <c r="AS13" s="1">
        <v>57</v>
      </c>
      <c r="AT13" s="1">
        <v>92.1</v>
      </c>
      <c r="AU13" s="1">
        <v>115.1</v>
      </c>
      <c r="AV13" s="1">
        <v>45.5</v>
      </c>
      <c r="AW13" s="1">
        <v>57</v>
      </c>
      <c r="AX13" s="1">
        <v>57</v>
      </c>
      <c r="AY13" s="25">
        <v>45099</v>
      </c>
      <c r="AZ13" s="1" t="s">
        <v>187</v>
      </c>
    </row>
    <row r="14" spans="1:58"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5">
        <v>45095</v>
      </c>
      <c r="Y14" s="1" t="str">
        <f t="shared" si="0"/>
        <v>2023-06-18</v>
      </c>
      <c r="AA14" s="7" t="s">
        <v>23</v>
      </c>
      <c r="AB14" s="1" t="s">
        <v>23</v>
      </c>
      <c r="AC14" s="1">
        <v>20036</v>
      </c>
      <c r="AD14" s="1" t="s">
        <v>5</v>
      </c>
      <c r="AE14" s="22">
        <v>0</v>
      </c>
      <c r="AF14" s="1" t="s">
        <v>6</v>
      </c>
      <c r="AG14" s="22">
        <v>0.99998842592592596</v>
      </c>
      <c r="AH14" s="1">
        <v>33.799999999999997</v>
      </c>
      <c r="AI14" s="1">
        <v>50.1</v>
      </c>
      <c r="AJ14" s="1">
        <v>61.4</v>
      </c>
      <c r="AK14" s="1">
        <v>-1</v>
      </c>
      <c r="AL14" s="1">
        <v>-1</v>
      </c>
      <c r="AM14" s="1">
        <v>-1</v>
      </c>
      <c r="AN14" s="1">
        <v>67.900000000000006</v>
      </c>
      <c r="AO14" s="1">
        <v>101.3</v>
      </c>
      <c r="AP14" s="1">
        <v>124.4</v>
      </c>
      <c r="AQ14" s="1">
        <v>33.799999999999997</v>
      </c>
      <c r="AR14" s="1">
        <v>50.1</v>
      </c>
      <c r="AS14" s="1">
        <v>61.4</v>
      </c>
      <c r="AT14" s="1">
        <v>101.3</v>
      </c>
      <c r="AU14" s="1">
        <v>124.4</v>
      </c>
      <c r="AV14" s="1">
        <v>50.1</v>
      </c>
      <c r="AW14" s="1">
        <v>61.4</v>
      </c>
      <c r="AX14" s="1">
        <v>61.4</v>
      </c>
      <c r="AY14" s="25">
        <v>45091</v>
      </c>
      <c r="AZ14" s="1" t="s">
        <v>188</v>
      </c>
    </row>
    <row r="15" spans="1:58"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5">
        <v>45113</v>
      </c>
      <c r="Y15" s="1" t="str">
        <f t="shared" si="0"/>
        <v>2023-07-06</v>
      </c>
      <c r="AA15" s="7" t="s">
        <v>24</v>
      </c>
      <c r="AB15" s="1" t="s">
        <v>24</v>
      </c>
      <c r="AC15" s="1">
        <v>20038</v>
      </c>
      <c r="AD15" s="1" t="s">
        <v>5</v>
      </c>
      <c r="AE15" s="22">
        <v>0</v>
      </c>
      <c r="AF15" s="1" t="s">
        <v>6</v>
      </c>
      <c r="AG15" s="22">
        <v>0.99998842592592596</v>
      </c>
      <c r="AH15" s="1">
        <v>34.700000000000003</v>
      </c>
      <c r="AI15" s="1">
        <v>52.3</v>
      </c>
      <c r="AJ15" s="1">
        <v>63.6</v>
      </c>
      <c r="AK15" s="1">
        <v>-1</v>
      </c>
      <c r="AL15" s="1">
        <v>-1</v>
      </c>
      <c r="AM15" s="1">
        <v>-1</v>
      </c>
      <c r="AN15" s="1">
        <v>70.8</v>
      </c>
      <c r="AO15" s="1">
        <v>106.1</v>
      </c>
      <c r="AP15" s="1">
        <v>128.6</v>
      </c>
      <c r="AQ15" s="1">
        <v>34.700000000000003</v>
      </c>
      <c r="AR15" s="1">
        <v>52.3</v>
      </c>
      <c r="AS15" s="1">
        <v>63.6</v>
      </c>
      <c r="AT15" s="1">
        <v>106.1</v>
      </c>
      <c r="AU15" s="1">
        <v>128.6</v>
      </c>
      <c r="AV15" s="1">
        <v>52.3</v>
      </c>
      <c r="AW15" s="1">
        <v>63.6</v>
      </c>
      <c r="AX15" s="1">
        <v>63.6</v>
      </c>
      <c r="AY15" s="25">
        <v>45079</v>
      </c>
      <c r="AZ15" s="1" t="s">
        <v>189</v>
      </c>
    </row>
    <row r="16" spans="1:58"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5">
        <v>45063</v>
      </c>
      <c r="Y16" s="1" t="str">
        <f t="shared" si="0"/>
        <v>2023-05-17</v>
      </c>
      <c r="AA16" s="7" t="s">
        <v>28</v>
      </c>
      <c r="AB16" s="1" t="s">
        <v>28</v>
      </c>
      <c r="AC16" s="1">
        <v>20048</v>
      </c>
      <c r="AD16" s="1" t="s">
        <v>5</v>
      </c>
      <c r="AE16" s="22">
        <v>0</v>
      </c>
      <c r="AF16" s="1" t="s">
        <v>6</v>
      </c>
      <c r="AG16" s="22">
        <v>0.99998842592592596</v>
      </c>
      <c r="AH16" s="1">
        <v>0</v>
      </c>
      <c r="AI16" s="1">
        <v>0</v>
      </c>
      <c r="AJ16" s="1">
        <v>0</v>
      </c>
      <c r="AK16" s="1">
        <v>0</v>
      </c>
      <c r="AL16" s="1">
        <v>0</v>
      </c>
      <c r="AM16" s="1">
        <v>0</v>
      </c>
      <c r="AN16" s="1">
        <v>0</v>
      </c>
      <c r="AO16" s="1">
        <v>0</v>
      </c>
      <c r="AP16" s="1">
        <v>0</v>
      </c>
      <c r="AQ16" s="1">
        <v>0</v>
      </c>
      <c r="AR16" s="1">
        <v>0</v>
      </c>
      <c r="AS16" s="1">
        <v>0</v>
      </c>
      <c r="AT16" s="1">
        <v>0</v>
      </c>
      <c r="AU16" s="1">
        <v>0</v>
      </c>
      <c r="AV16" s="1">
        <v>0</v>
      </c>
      <c r="AW16" s="1">
        <v>0</v>
      </c>
      <c r="AX16" s="1">
        <v>0</v>
      </c>
      <c r="AY16" s="25">
        <v>45142</v>
      </c>
      <c r="AZ16" s="1" t="s">
        <v>190</v>
      </c>
    </row>
    <row r="17" spans="1:52"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5">
        <v>45071</v>
      </c>
      <c r="Y17" s="1" t="str">
        <f t="shared" si="0"/>
        <v>2023-05-25</v>
      </c>
      <c r="AA17" s="7" t="s">
        <v>57</v>
      </c>
      <c r="AB17" s="1" t="s">
        <v>57</v>
      </c>
      <c r="AC17" s="1">
        <v>20050</v>
      </c>
      <c r="AD17" s="1" t="s">
        <v>5</v>
      </c>
      <c r="AE17" s="22">
        <v>0</v>
      </c>
      <c r="AF17" s="1" t="s">
        <v>6</v>
      </c>
      <c r="AG17" s="22">
        <v>0.99998842592592596</v>
      </c>
      <c r="AH17" s="1">
        <v>41.3</v>
      </c>
      <c r="AI17" s="1">
        <v>61.4</v>
      </c>
      <c r="AJ17" s="1">
        <v>75</v>
      </c>
      <c r="AK17" s="1">
        <v>-1</v>
      </c>
      <c r="AL17" s="1">
        <v>-1</v>
      </c>
      <c r="AM17" s="1">
        <v>-1</v>
      </c>
      <c r="AN17" s="1">
        <v>83.5</v>
      </c>
      <c r="AO17" s="1">
        <v>124.4</v>
      </c>
      <c r="AP17" s="1">
        <v>151.5</v>
      </c>
      <c r="AQ17" s="1">
        <v>41.3</v>
      </c>
      <c r="AR17" s="1">
        <v>61.4</v>
      </c>
      <c r="AS17" s="1">
        <v>75</v>
      </c>
      <c r="AT17" s="1">
        <v>124.4</v>
      </c>
      <c r="AU17" s="1">
        <v>151.5</v>
      </c>
      <c r="AV17" s="1">
        <v>61.4</v>
      </c>
      <c r="AW17" s="1">
        <v>75</v>
      </c>
      <c r="AX17" s="1">
        <v>75</v>
      </c>
      <c r="AY17" s="25">
        <v>45146</v>
      </c>
      <c r="AZ17" s="1" t="s">
        <v>191</v>
      </c>
    </row>
    <row r="18" spans="1:52"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5">
        <v>45085</v>
      </c>
      <c r="Y18" s="1" t="str">
        <f t="shared" si="0"/>
        <v>2023-06-08</v>
      </c>
      <c r="AA18" s="7" t="s">
        <v>58</v>
      </c>
      <c r="AB18" s="1" t="s">
        <v>58</v>
      </c>
      <c r="AC18" s="1">
        <v>20058</v>
      </c>
      <c r="AD18" s="1" t="s">
        <v>5</v>
      </c>
      <c r="AE18" s="22">
        <v>0</v>
      </c>
      <c r="AF18" s="1" t="s">
        <v>6</v>
      </c>
      <c r="AG18" s="22">
        <v>0.99998842592592596</v>
      </c>
      <c r="AH18" s="1">
        <v>-1</v>
      </c>
      <c r="AI18" s="1">
        <v>-1</v>
      </c>
      <c r="AJ18" s="1">
        <v>-1</v>
      </c>
      <c r="AK18" s="1">
        <v>-1</v>
      </c>
      <c r="AL18" s="1">
        <v>-1</v>
      </c>
      <c r="AM18" s="1">
        <v>-1</v>
      </c>
      <c r="AN18" s="1">
        <v>-1</v>
      </c>
      <c r="AO18" s="1">
        <v>-1</v>
      </c>
      <c r="AP18" s="1">
        <v>-1</v>
      </c>
      <c r="AQ18" s="1">
        <v>-1</v>
      </c>
      <c r="AR18" s="1">
        <v>-1</v>
      </c>
      <c r="AS18" s="1">
        <v>-1</v>
      </c>
      <c r="AT18" s="1">
        <v>-1</v>
      </c>
      <c r="AU18" s="1">
        <v>-1</v>
      </c>
      <c r="AV18" s="1">
        <v>-1</v>
      </c>
      <c r="AW18" s="1">
        <v>-1</v>
      </c>
      <c r="AX18" s="1">
        <v>-1</v>
      </c>
      <c r="AY18" s="25">
        <v>45150</v>
      </c>
      <c r="AZ18" s="1" t="s">
        <v>192</v>
      </c>
    </row>
    <row r="19" spans="1:52"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5">
        <v>45099</v>
      </c>
      <c r="Y19" s="1" t="str">
        <f t="shared" si="0"/>
        <v>2023-06-22</v>
      </c>
      <c r="AA19" s="7" t="s">
        <v>31</v>
      </c>
      <c r="AB19" s="1" t="s">
        <v>31</v>
      </c>
      <c r="AC19" s="1">
        <v>20060</v>
      </c>
      <c r="AD19" s="1" t="s">
        <v>5</v>
      </c>
      <c r="AE19" s="22">
        <v>0</v>
      </c>
      <c r="AF19" s="1" t="s">
        <v>6</v>
      </c>
      <c r="AG19" s="22">
        <v>0.99998842592592596</v>
      </c>
      <c r="AH19" s="1">
        <v>45</v>
      </c>
      <c r="AI19" s="1">
        <v>65.900000000000006</v>
      </c>
      <c r="AJ19" s="1">
        <v>79.400000000000006</v>
      </c>
      <c r="AK19" s="1">
        <v>-1</v>
      </c>
      <c r="AL19" s="1">
        <v>-1</v>
      </c>
      <c r="AM19" s="1">
        <v>-1</v>
      </c>
      <c r="AN19" s="1">
        <v>90.9</v>
      </c>
      <c r="AO19" s="1">
        <v>133.4</v>
      </c>
      <c r="AP19" s="1">
        <v>160.9</v>
      </c>
      <c r="AQ19" s="1">
        <v>45</v>
      </c>
      <c r="AR19" s="1">
        <v>65.900000000000006</v>
      </c>
      <c r="AS19" s="1">
        <v>79.400000000000006</v>
      </c>
      <c r="AT19" s="1">
        <v>133.4</v>
      </c>
      <c r="AU19" s="1">
        <v>160.9</v>
      </c>
      <c r="AV19" s="1">
        <v>65.900000000000006</v>
      </c>
      <c r="AW19" s="1">
        <v>79.400000000000006</v>
      </c>
      <c r="AX19" s="1">
        <v>79.400000000000006</v>
      </c>
      <c r="AY19" s="25">
        <v>45157</v>
      </c>
      <c r="AZ19" s="1" t="s">
        <v>193</v>
      </c>
    </row>
    <row r="20" spans="1:52"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5">
        <v>45091</v>
      </c>
      <c r="Y20" s="1" t="str">
        <f t="shared" si="0"/>
        <v>2023-06-14</v>
      </c>
      <c r="AA20" s="7" t="s">
        <v>32</v>
      </c>
      <c r="AB20" s="1" t="s">
        <v>32</v>
      </c>
      <c r="AC20" s="1">
        <v>21000</v>
      </c>
      <c r="AD20" s="1" t="s">
        <v>5</v>
      </c>
      <c r="AE20" s="22">
        <v>0</v>
      </c>
      <c r="AF20" s="1" t="s">
        <v>6</v>
      </c>
      <c r="AG20" s="22">
        <v>0.99998842592592596</v>
      </c>
      <c r="AH20" s="1">
        <v>-1</v>
      </c>
      <c r="AI20" s="1">
        <v>-1</v>
      </c>
      <c r="AJ20" s="1">
        <v>-1</v>
      </c>
      <c r="AK20" s="1">
        <v>-1</v>
      </c>
      <c r="AL20" s="1">
        <v>-1</v>
      </c>
      <c r="AM20" s="1">
        <v>-1</v>
      </c>
      <c r="AN20" s="1">
        <v>-1</v>
      </c>
      <c r="AO20" s="1">
        <v>-1</v>
      </c>
      <c r="AP20" s="1">
        <v>-1</v>
      </c>
      <c r="AQ20" s="1">
        <v>-1</v>
      </c>
      <c r="AR20" s="1">
        <v>-1</v>
      </c>
      <c r="AS20" s="1">
        <v>-1</v>
      </c>
      <c r="AT20" s="1">
        <v>-1</v>
      </c>
      <c r="AU20" s="1">
        <v>-1</v>
      </c>
      <c r="AV20" s="1">
        <v>-1</v>
      </c>
      <c r="AW20" s="1">
        <v>-1</v>
      </c>
      <c r="AX20" s="1">
        <v>-1</v>
      </c>
      <c r="AY20" s="25">
        <v>45143</v>
      </c>
      <c r="AZ20" s="1" t="s">
        <v>194</v>
      </c>
    </row>
    <row r="21" spans="1:52"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5">
        <v>45079</v>
      </c>
      <c r="Y21" s="1" t="str">
        <f t="shared" si="0"/>
        <v>2023-06-02</v>
      </c>
      <c r="AA21" s="7" t="s">
        <v>34</v>
      </c>
      <c r="AB21" s="1" t="s">
        <v>34</v>
      </c>
      <c r="AC21" s="1">
        <v>21004</v>
      </c>
      <c r="AD21" s="1" t="s">
        <v>5</v>
      </c>
      <c r="AE21" s="22">
        <v>0</v>
      </c>
      <c r="AF21" s="1" t="s">
        <v>6</v>
      </c>
      <c r="AG21" s="22">
        <v>0.99998842592592596</v>
      </c>
      <c r="AH21" s="1">
        <v>43.3</v>
      </c>
      <c r="AI21" s="1">
        <v>63.6</v>
      </c>
      <c r="AJ21" s="1">
        <v>79.400000000000006</v>
      </c>
      <c r="AK21" s="1">
        <v>-1</v>
      </c>
      <c r="AL21" s="1">
        <v>-1</v>
      </c>
      <c r="AM21" s="1">
        <v>-1</v>
      </c>
      <c r="AN21" s="1">
        <v>87.6</v>
      </c>
      <c r="AO21" s="1">
        <v>128.6</v>
      </c>
      <c r="AP21" s="1">
        <v>160.9</v>
      </c>
      <c r="AQ21" s="1">
        <v>43.3</v>
      </c>
      <c r="AR21" s="1">
        <v>63.6</v>
      </c>
      <c r="AS21" s="1">
        <v>79.400000000000006</v>
      </c>
      <c r="AT21" s="1">
        <v>128.6</v>
      </c>
      <c r="AU21" s="1">
        <v>160.9</v>
      </c>
      <c r="AV21" s="1">
        <v>63.6</v>
      </c>
      <c r="AW21" s="1">
        <v>79.400000000000006</v>
      </c>
      <c r="AX21" s="1">
        <v>79.400000000000006</v>
      </c>
      <c r="AY21" s="25">
        <v>45162</v>
      </c>
      <c r="AZ21" s="1" t="s">
        <v>195</v>
      </c>
    </row>
    <row r="22" spans="1:52"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5">
        <v>45075</v>
      </c>
      <c r="Y22" s="1" t="str">
        <f t="shared" si="0"/>
        <v>2023-05-29</v>
      </c>
      <c r="AA22" s="7" t="s">
        <v>37</v>
      </c>
      <c r="AB22" s="1" t="s">
        <v>37</v>
      </c>
      <c r="AC22" s="1">
        <v>21012</v>
      </c>
      <c r="AD22" s="1" t="s">
        <v>5</v>
      </c>
      <c r="AE22" s="22">
        <v>0</v>
      </c>
      <c r="AF22" s="1" t="s">
        <v>6</v>
      </c>
      <c r="AG22" s="22">
        <v>0.99998842592592596</v>
      </c>
      <c r="AH22" s="1">
        <v>49.1</v>
      </c>
      <c r="AI22" s="1">
        <v>72.8</v>
      </c>
      <c r="AJ22" s="1">
        <v>90.9</v>
      </c>
      <c r="AK22" s="1">
        <v>-1</v>
      </c>
      <c r="AL22" s="1">
        <v>-1</v>
      </c>
      <c r="AM22" s="1">
        <v>-1</v>
      </c>
      <c r="AN22" s="1">
        <v>99.5</v>
      </c>
      <c r="AO22" s="1">
        <v>146.80000000000001</v>
      </c>
      <c r="AP22" s="1">
        <v>183.5</v>
      </c>
      <c r="AQ22" s="1">
        <v>49.1</v>
      </c>
      <c r="AR22" s="1">
        <v>72.8</v>
      </c>
      <c r="AS22" s="1">
        <v>90.9</v>
      </c>
      <c r="AT22" s="1">
        <v>146.80000000000001</v>
      </c>
      <c r="AU22" s="1">
        <v>183.5</v>
      </c>
      <c r="AV22" s="1">
        <v>72.8</v>
      </c>
      <c r="AW22" s="1">
        <v>90.9</v>
      </c>
      <c r="AX22" s="1">
        <v>90.9</v>
      </c>
      <c r="AY22" s="25">
        <v>45143</v>
      </c>
      <c r="AZ22" s="1" t="s">
        <v>194</v>
      </c>
    </row>
    <row r="23" spans="1:52"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5">
        <v>45110</v>
      </c>
      <c r="Y23" s="1" t="str">
        <f t="shared" si="0"/>
        <v>2023-07-03</v>
      </c>
      <c r="AA23" s="7" t="s">
        <v>39</v>
      </c>
      <c r="AB23" s="1" t="s">
        <v>39</v>
      </c>
      <c r="AC23" s="1">
        <v>21016</v>
      </c>
      <c r="AD23" s="1" t="s">
        <v>5</v>
      </c>
      <c r="AE23" s="22">
        <v>0</v>
      </c>
      <c r="AF23" s="1" t="s">
        <v>6</v>
      </c>
      <c r="AG23" s="22">
        <v>0.99998842592592596</v>
      </c>
      <c r="AH23" s="1">
        <v>51.8</v>
      </c>
      <c r="AI23" s="1">
        <v>77.2</v>
      </c>
      <c r="AJ23" s="1">
        <v>93.1</v>
      </c>
      <c r="AK23" s="1">
        <v>-1</v>
      </c>
      <c r="AL23" s="1">
        <v>-1</v>
      </c>
      <c r="AM23" s="1">
        <v>-1</v>
      </c>
      <c r="AN23" s="1">
        <v>104.5</v>
      </c>
      <c r="AO23" s="1">
        <v>156.4</v>
      </c>
      <c r="AP23" s="1">
        <v>188.1</v>
      </c>
      <c r="AQ23" s="1">
        <v>51.8</v>
      </c>
      <c r="AR23" s="1">
        <v>77.2</v>
      </c>
      <c r="AS23" s="1">
        <v>93.1</v>
      </c>
      <c r="AT23" s="1">
        <v>156.4</v>
      </c>
      <c r="AU23" s="1">
        <v>188.1</v>
      </c>
      <c r="AV23" s="1">
        <v>77.2</v>
      </c>
      <c r="AW23" s="1">
        <v>93.1</v>
      </c>
      <c r="AX23" s="1">
        <v>93.1</v>
      </c>
      <c r="AY23" s="25">
        <v>45162</v>
      </c>
      <c r="AZ23" s="1" t="s">
        <v>195</v>
      </c>
    </row>
    <row r="24" spans="1:52"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5">
        <v>45114</v>
      </c>
      <c r="Y24" s="1" t="str">
        <f t="shared" si="0"/>
        <v>2023-07-07</v>
      </c>
    </row>
    <row r="25" spans="1:52"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5">
        <v>45118</v>
      </c>
      <c r="Y25" s="1" t="str">
        <f t="shared" si="0"/>
        <v>2023-07-11</v>
      </c>
    </row>
    <row r="26" spans="1:52"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5">
        <v>45142</v>
      </c>
      <c r="Y26" s="1" t="str">
        <f t="shared" si="0"/>
        <v>2023-08-04</v>
      </c>
    </row>
    <row r="27" spans="1:52" x14ac:dyDescent="0.3">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5">
        <v>45146</v>
      </c>
      <c r="Y27" s="1" t="str">
        <f t="shared" si="0"/>
        <v>2023-08-08</v>
      </c>
    </row>
    <row r="28" spans="1:52"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5">
        <v>45108</v>
      </c>
      <c r="Y28" s="1" t="str">
        <f t="shared" si="0"/>
        <v>2023-07-01</v>
      </c>
    </row>
    <row r="29" spans="1:52"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5">
        <v>45153</v>
      </c>
      <c r="Y29" s="1" t="str">
        <f t="shared" si="0"/>
        <v>2023-08-15</v>
      </c>
    </row>
    <row r="30" spans="1:52" x14ac:dyDescent="0.3">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5">
        <v>45150</v>
      </c>
      <c r="Y30" s="1" t="str">
        <f t="shared" si="0"/>
        <v>2023-08-12</v>
      </c>
    </row>
    <row r="31" spans="1:52"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5">
        <v>45157</v>
      </c>
      <c r="Y31" s="1" t="str">
        <f t="shared" si="0"/>
        <v>2023-08-19</v>
      </c>
    </row>
    <row r="32" spans="1:52"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5">
        <v>45143</v>
      </c>
      <c r="Y32" s="1" t="str">
        <f t="shared" si="0"/>
        <v>2023-08-05</v>
      </c>
    </row>
    <row r="33" spans="1:25"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5">
        <v>45166</v>
      </c>
      <c r="Y33" s="1" t="str">
        <f t="shared" si="0"/>
        <v>2023-08-28</v>
      </c>
    </row>
    <row r="34" spans="1:25"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5">
        <v>45162</v>
      </c>
      <c r="Y34" s="1" t="str">
        <f t="shared" si="0"/>
        <v>2023-08-24</v>
      </c>
    </row>
    <row r="35" spans="1:25"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5">
        <v>45160</v>
      </c>
      <c r="Y35" s="1" t="str">
        <f t="shared" si="0"/>
        <v>2023-08-22</v>
      </c>
    </row>
    <row r="36" spans="1:25"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5">
        <v>45179</v>
      </c>
      <c r="Y36" s="1" t="str">
        <f t="shared" si="0"/>
        <v>2023-09-10</v>
      </c>
    </row>
    <row r="37" spans="1:25"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5">
        <v>45157</v>
      </c>
      <c r="Y37" s="1" t="str">
        <f t="shared" si="0"/>
        <v>2023-08-19</v>
      </c>
    </row>
    <row r="38" spans="1:25"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5">
        <v>45143</v>
      </c>
      <c r="Y38" s="1" t="str">
        <f t="shared" si="0"/>
        <v>2023-08-05</v>
      </c>
    </row>
    <row r="39" spans="1:25"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5">
        <v>45166</v>
      </c>
      <c r="Y39" s="1" t="str">
        <f t="shared" si="0"/>
        <v>2023-08-28</v>
      </c>
    </row>
    <row r="40" spans="1:25"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5">
        <v>45162</v>
      </c>
      <c r="Y40" s="1" t="str">
        <f t="shared" si="0"/>
        <v>2023-08-24</v>
      </c>
    </row>
    <row r="43" spans="1:25" x14ac:dyDescent="0.3">
      <c r="I43" s="43">
        <f>SUMIFS(H:H, H:H, "&gt;"&amp;20)</f>
        <v>1473.0000000000002</v>
      </c>
    </row>
  </sheetData>
  <conditionalFormatting sqref="A1:A1048576">
    <cfRule type="duplicateValues" dxfId="37" priority="22"/>
  </conditionalFormatting>
  <conditionalFormatting sqref="B1:B1048576">
    <cfRule type="duplicateValues" dxfId="36" priority="21"/>
  </conditionalFormatting>
  <conditionalFormatting sqref="A1:X40">
    <cfRule type="cellIs" dxfId="35" priority="20" operator="equal">
      <formula>-1</formula>
    </cfRule>
  </conditionalFormatting>
  <conditionalFormatting sqref="G1:W40">
    <cfRule type="cellIs" dxfId="34" priority="19" operator="equal">
      <formula>0</formula>
    </cfRule>
  </conditionalFormatting>
  <conditionalFormatting sqref="Z1:Z1048576">
    <cfRule type="duplicateValues" dxfId="19" priority="18"/>
  </conditionalFormatting>
  <conditionalFormatting sqref="Z1:Z40">
    <cfRule type="cellIs" dxfId="18" priority="17" operator="equal">
      <formula>-1</formula>
    </cfRule>
  </conditionalFormatting>
  <conditionalFormatting sqref="AH2">
    <cfRule type="duplicateValues" dxfId="13" priority="12"/>
  </conditionalFormatting>
  <conditionalFormatting sqref="AI2">
    <cfRule type="duplicateValues" dxfId="12" priority="11"/>
  </conditionalFormatting>
  <conditionalFormatting sqref="AH2:AL2">
    <cfRule type="cellIs" dxfId="11" priority="10" operator="equal">
      <formula>-1</formula>
    </cfRule>
  </conditionalFormatting>
  <conditionalFormatting sqref="AB1">
    <cfRule type="duplicateValues" dxfId="5" priority="4"/>
  </conditionalFormatting>
  <conditionalFormatting sqref="AC1">
    <cfRule type="duplicateValues" dxfId="4" priority="3"/>
  </conditionalFormatting>
  <conditionalFormatting sqref="AB1:AY1">
    <cfRule type="cellIs" dxfId="3" priority="2" operator="equal">
      <formula>-1</formula>
    </cfRule>
  </conditionalFormatting>
  <conditionalFormatting sqref="AH1:AX1">
    <cfRule type="cellIs" dxfId="2"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H40"/>
  <sheetViews>
    <sheetView zoomScaleNormal="100" workbookViewId="0">
      <selection activeCell="B6" sqref="B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6" width="11" style="1"/>
    <col min="7" max="8" width="12.77734375" style="1" bestFit="1" customWidth="1"/>
    <col min="9" max="16384" width="11" style="1"/>
  </cols>
  <sheetData>
    <row r="1" spans="1:8" x14ac:dyDescent="0.3">
      <c r="A1" s="4" t="s">
        <v>47</v>
      </c>
      <c r="B1" s="4" t="s">
        <v>48</v>
      </c>
      <c r="C1" s="4" t="s">
        <v>44</v>
      </c>
      <c r="E1" s="4" t="s">
        <v>174</v>
      </c>
      <c r="G1" s="28"/>
      <c r="H1" s="28" t="s">
        <v>65</v>
      </c>
    </row>
    <row r="2" spans="1:8" x14ac:dyDescent="0.3">
      <c r="A2" s="2"/>
      <c r="B2" s="5" t="s">
        <v>158</v>
      </c>
      <c r="C2" s="2"/>
      <c r="H2" s="1">
        <v>3.6</v>
      </c>
    </row>
    <row r="3" spans="1:8" x14ac:dyDescent="0.3">
      <c r="A3" s="6">
        <v>1</v>
      </c>
      <c r="B3" s="2" t="s">
        <v>105</v>
      </c>
      <c r="C3" s="2" t="s">
        <v>45</v>
      </c>
      <c r="E3" s="1">
        <v>5</v>
      </c>
      <c r="H3" s="1">
        <v>3.6</v>
      </c>
    </row>
    <row r="4" spans="1:8" x14ac:dyDescent="0.3">
      <c r="A4" s="6">
        <v>2</v>
      </c>
      <c r="B4" s="2" t="s">
        <v>46</v>
      </c>
      <c r="C4" s="2"/>
      <c r="E4" s="1">
        <v>5</v>
      </c>
      <c r="H4" s="1">
        <v>5.4</v>
      </c>
    </row>
    <row r="5" spans="1:8" x14ac:dyDescent="0.3">
      <c r="A5" s="6">
        <v>3</v>
      </c>
      <c r="B5" s="2" t="s">
        <v>102</v>
      </c>
      <c r="C5" s="32">
        <f>SUMIFS(H:H, H:H, "&gt;"&amp;20)</f>
        <v>1473.0000000000002</v>
      </c>
      <c r="E5" s="1">
        <v>10</v>
      </c>
      <c r="H5" s="1">
        <v>6.6</v>
      </c>
    </row>
    <row r="6" spans="1:8" x14ac:dyDescent="0.3">
      <c r="A6" s="6">
        <v>4</v>
      </c>
      <c r="B6" s="2" t="s">
        <v>104</v>
      </c>
      <c r="C6" s="2"/>
      <c r="E6" s="1">
        <v>5</v>
      </c>
      <c r="H6" s="1">
        <v>8.8000000000000007</v>
      </c>
    </row>
    <row r="7" spans="1:8" x14ac:dyDescent="0.3">
      <c r="A7" s="2"/>
      <c r="B7" s="2"/>
      <c r="C7" s="2"/>
      <c r="H7" s="1">
        <v>10.4</v>
      </c>
    </row>
    <row r="8" spans="1:8" x14ac:dyDescent="0.3">
      <c r="H8" s="1">
        <v>13.8</v>
      </c>
    </row>
    <row r="9" spans="1:8" x14ac:dyDescent="0.3">
      <c r="H9" s="1">
        <v>17.3</v>
      </c>
    </row>
    <row r="10" spans="1:8" x14ac:dyDescent="0.3">
      <c r="H10" s="1">
        <v>24.1</v>
      </c>
    </row>
    <row r="11" spans="1:8" x14ac:dyDescent="0.3">
      <c r="H11" s="1">
        <v>27.5</v>
      </c>
    </row>
    <row r="12" spans="1:8" x14ac:dyDescent="0.3">
      <c r="H12" s="1">
        <v>0</v>
      </c>
    </row>
    <row r="13" spans="1:8" x14ac:dyDescent="0.3">
      <c r="E13" s="2"/>
      <c r="H13" s="1">
        <v>32.1</v>
      </c>
    </row>
    <row r="14" spans="1:8" x14ac:dyDescent="0.3">
      <c r="E14" s="2"/>
      <c r="H14" s="1">
        <v>34.700000000000003</v>
      </c>
    </row>
    <row r="15" spans="1:8" x14ac:dyDescent="0.3">
      <c r="H15" s="1">
        <v>39.299999999999997</v>
      </c>
    </row>
    <row r="16" spans="1:8" x14ac:dyDescent="0.3">
      <c r="H16" s="1">
        <v>41</v>
      </c>
    </row>
    <row r="17" spans="8:8" x14ac:dyDescent="0.3">
      <c r="H17" s="1">
        <v>42.3</v>
      </c>
    </row>
    <row r="18" spans="8:8" x14ac:dyDescent="0.3">
      <c r="H18" s="1">
        <v>43.3</v>
      </c>
    </row>
    <row r="19" spans="8:8" x14ac:dyDescent="0.3">
      <c r="H19" s="1">
        <v>45.5</v>
      </c>
    </row>
    <row r="20" spans="8:8" x14ac:dyDescent="0.3">
      <c r="H20" s="1">
        <v>50.1</v>
      </c>
    </row>
    <row r="21" spans="8:8" x14ac:dyDescent="0.3">
      <c r="H21" s="1">
        <v>52.3</v>
      </c>
    </row>
    <row r="22" spans="8:8" x14ac:dyDescent="0.3">
      <c r="H22" s="1">
        <v>54.6</v>
      </c>
    </row>
    <row r="23" spans="8:8" x14ac:dyDescent="0.3">
      <c r="H23" s="1">
        <v>57.2</v>
      </c>
    </row>
    <row r="24" spans="8:8" x14ac:dyDescent="0.3">
      <c r="H24" s="1">
        <v>59.2</v>
      </c>
    </row>
    <row r="25" spans="8:8" x14ac:dyDescent="0.3">
      <c r="H25" s="1">
        <v>59.2</v>
      </c>
    </row>
    <row r="26" spans="8:8" x14ac:dyDescent="0.3">
      <c r="H26" s="1">
        <v>0</v>
      </c>
    </row>
    <row r="27" spans="8:8" x14ac:dyDescent="0.3">
      <c r="H27" s="1">
        <v>61.4</v>
      </c>
    </row>
    <row r="28" spans="8:8" x14ac:dyDescent="0.3">
      <c r="H28" s="1">
        <v>61.4</v>
      </c>
    </row>
    <row r="29" spans="8:8" x14ac:dyDescent="0.3">
      <c r="H29" s="1">
        <v>63.6</v>
      </c>
    </row>
    <row r="30" spans="8:8" x14ac:dyDescent="0.3">
      <c r="H30" s="1">
        <v>-1</v>
      </c>
    </row>
    <row r="31" spans="8:8" x14ac:dyDescent="0.3">
      <c r="H31" s="1">
        <v>65.900000000000006</v>
      </c>
    </row>
    <row r="32" spans="8:8" x14ac:dyDescent="0.3">
      <c r="H32" s="1">
        <v>-1</v>
      </c>
    </row>
    <row r="33" spans="8:8" x14ac:dyDescent="0.3">
      <c r="H33" s="1">
        <v>61.4</v>
      </c>
    </row>
    <row r="34" spans="8:8" x14ac:dyDescent="0.3">
      <c r="H34" s="1">
        <v>63.6</v>
      </c>
    </row>
    <row r="35" spans="8:8" x14ac:dyDescent="0.3">
      <c r="H35" s="1">
        <v>65.900000000000006</v>
      </c>
    </row>
    <row r="36" spans="8:8" x14ac:dyDescent="0.3">
      <c r="H36" s="1">
        <v>70.400000000000006</v>
      </c>
    </row>
    <row r="37" spans="8:8" x14ac:dyDescent="0.3">
      <c r="H37" s="1">
        <v>72</v>
      </c>
    </row>
    <row r="38" spans="8:8" x14ac:dyDescent="0.3">
      <c r="H38" s="1">
        <v>72.8</v>
      </c>
    </row>
    <row r="39" spans="8:8" x14ac:dyDescent="0.3">
      <c r="H39" s="1">
        <v>75</v>
      </c>
    </row>
    <row r="40" spans="8:8" x14ac:dyDescent="0.3">
      <c r="H40" s="1">
        <v>77.2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44"/>
  <sheetViews>
    <sheetView zoomScaleNormal="100" workbookViewId="0">
      <selection activeCell="B30" sqref="B30:F3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162</v>
      </c>
    </row>
    <row r="2" spans="1:7" s="39" customFormat="1" ht="21" x14ac:dyDescent="0.4">
      <c r="B2" s="39" t="s">
        <v>159</v>
      </c>
    </row>
    <row r="3" spans="1:7" ht="14.4" x14ac:dyDescent="0.3">
      <c r="A3" s="1"/>
      <c r="B3" s="1"/>
      <c r="C3" s="1"/>
      <c r="D3" s="1"/>
      <c r="E3" s="1"/>
      <c r="F3" s="1"/>
      <c r="G3" s="1"/>
    </row>
    <row r="4" spans="1:7" ht="23.4" x14ac:dyDescent="0.45">
      <c r="A4" s="16" t="s">
        <v>160</v>
      </c>
      <c r="B4" s="1"/>
      <c r="C4" s="1"/>
      <c r="D4" s="1"/>
      <c r="E4" s="1"/>
      <c r="F4" s="1"/>
      <c r="G4" s="1"/>
    </row>
    <row r="5" spans="1:7" ht="14.4" x14ac:dyDescent="0.3">
      <c r="A5" s="18" t="s">
        <v>64</v>
      </c>
      <c r="B5" s="19" t="s">
        <v>79</v>
      </c>
      <c r="C5" s="20" t="s">
        <v>71</v>
      </c>
      <c r="D5" s="19" t="s">
        <v>75</v>
      </c>
      <c r="E5" s="20" t="s">
        <v>76</v>
      </c>
      <c r="F5" s="21" t="s">
        <v>77</v>
      </c>
    </row>
    <row r="6" spans="1:7" ht="14.4" x14ac:dyDescent="0.3">
      <c r="A6" s="7" t="s">
        <v>40</v>
      </c>
      <c r="B6" s="1">
        <v>2.7</v>
      </c>
      <c r="C6" s="1">
        <v>7.6</v>
      </c>
      <c r="D6" s="1">
        <v>4.2</v>
      </c>
      <c r="E6" s="1">
        <v>8.9</v>
      </c>
      <c r="F6" s="1">
        <v>4.2</v>
      </c>
    </row>
    <row r="7" spans="1:7" ht="14.4" x14ac:dyDescent="0.3">
      <c r="A7" s="7" t="s">
        <v>4</v>
      </c>
      <c r="B7" s="1">
        <v>2.7</v>
      </c>
      <c r="C7" s="1">
        <v>7.6</v>
      </c>
      <c r="D7" s="1">
        <v>4.2</v>
      </c>
      <c r="E7" s="1">
        <v>8.9</v>
      </c>
      <c r="F7" s="1">
        <v>4.2</v>
      </c>
    </row>
    <row r="8" spans="1:7" ht="14.4" x14ac:dyDescent="0.3">
      <c r="A8" s="7" t="s">
        <v>7</v>
      </c>
      <c r="B8" s="1">
        <v>3.6</v>
      </c>
      <c r="C8" s="1">
        <v>11.1</v>
      </c>
      <c r="D8" s="1">
        <v>5.8</v>
      </c>
      <c r="E8" s="1">
        <v>12.2</v>
      </c>
      <c r="F8" s="1">
        <v>5.8</v>
      </c>
    </row>
    <row r="9" spans="1:7" ht="14.4" x14ac:dyDescent="0.3">
      <c r="A9" s="7" t="s">
        <v>8</v>
      </c>
      <c r="B9" s="1">
        <v>4.9000000000000004</v>
      </c>
      <c r="C9" s="1">
        <v>13.3</v>
      </c>
      <c r="D9" s="1">
        <v>8.1</v>
      </c>
      <c r="E9" s="1">
        <v>17</v>
      </c>
      <c r="F9" s="1">
        <v>8.1</v>
      </c>
    </row>
    <row r="10" spans="1:7" ht="14.4" x14ac:dyDescent="0.3">
      <c r="A10" s="7" t="s">
        <v>11</v>
      </c>
      <c r="B10" s="1">
        <v>9.4</v>
      </c>
      <c r="C10" s="1">
        <v>28.3</v>
      </c>
      <c r="D10" s="1">
        <v>16.100000000000001</v>
      </c>
      <c r="E10" s="1">
        <v>32.799999999999997</v>
      </c>
      <c r="F10" s="1">
        <v>16.100000000000001</v>
      </c>
    </row>
    <row r="11" spans="1:7" ht="14.4" x14ac:dyDescent="0.3">
      <c r="A11" s="7" t="s">
        <v>12</v>
      </c>
      <c r="B11" s="1">
        <v>11.6</v>
      </c>
      <c r="C11" s="1">
        <v>35.200000000000003</v>
      </c>
      <c r="D11" s="1">
        <v>21.3</v>
      </c>
      <c r="E11" s="1">
        <v>43</v>
      </c>
      <c r="F11" s="1">
        <v>21.3</v>
      </c>
    </row>
    <row r="12" spans="1:7" ht="14.4" x14ac:dyDescent="0.3">
      <c r="A12" s="7" t="s">
        <v>14</v>
      </c>
      <c r="B12" s="1">
        <v>18.399999999999999</v>
      </c>
      <c r="C12" s="1">
        <v>55.6</v>
      </c>
      <c r="D12" s="1">
        <v>33.799999999999997</v>
      </c>
      <c r="E12" s="1">
        <v>67.900000000000006</v>
      </c>
      <c r="F12" s="1">
        <v>33.799999999999997</v>
      </c>
    </row>
    <row r="13" spans="1:7" ht="14.4" x14ac:dyDescent="0.3">
      <c r="A13" s="7" t="s">
        <v>15</v>
      </c>
      <c r="B13" s="1">
        <v>0</v>
      </c>
      <c r="C13" s="1">
        <v>0</v>
      </c>
      <c r="D13" s="1">
        <v>0</v>
      </c>
      <c r="E13" s="1">
        <v>0</v>
      </c>
      <c r="F13" s="1">
        <v>0</v>
      </c>
    </row>
    <row r="14" spans="1:7" ht="14.4" x14ac:dyDescent="0.3">
      <c r="A14" s="7" t="s">
        <v>16</v>
      </c>
      <c r="B14" s="1">
        <v>21.9</v>
      </c>
      <c r="C14" s="1">
        <v>61.5</v>
      </c>
      <c r="D14" s="1">
        <v>40.1</v>
      </c>
      <c r="E14" s="1">
        <v>76.599999999999994</v>
      </c>
      <c r="F14" s="1">
        <v>40.1</v>
      </c>
    </row>
    <row r="15" spans="1:7" ht="14.4" x14ac:dyDescent="0.3">
      <c r="A15" s="7" t="s">
        <v>18</v>
      </c>
      <c r="B15" s="1">
        <v>26.8</v>
      </c>
      <c r="C15" s="1">
        <v>79.599999999999994</v>
      </c>
      <c r="D15" s="1">
        <v>47.9</v>
      </c>
      <c r="E15" s="1">
        <v>96.8</v>
      </c>
      <c r="F15" s="1">
        <v>47.9</v>
      </c>
    </row>
    <row r="16" spans="1:7" ht="14.4" x14ac:dyDescent="0.3">
      <c r="A16" s="7" t="s">
        <v>20</v>
      </c>
      <c r="B16" s="1">
        <v>28.5</v>
      </c>
      <c r="C16" s="1">
        <v>85.4</v>
      </c>
      <c r="D16" s="1">
        <v>52.3</v>
      </c>
      <c r="E16" s="1">
        <v>106.1</v>
      </c>
      <c r="F16" s="1">
        <v>52.3</v>
      </c>
    </row>
    <row r="17" spans="1:6" ht="14.4" x14ac:dyDescent="0.3">
      <c r="A17" s="7" t="s">
        <v>22</v>
      </c>
      <c r="B17" s="1">
        <v>30.7</v>
      </c>
      <c r="C17" s="1">
        <v>92.1</v>
      </c>
      <c r="D17" s="1">
        <v>57</v>
      </c>
      <c r="E17" s="1">
        <v>115.1</v>
      </c>
      <c r="F17" s="1">
        <v>57</v>
      </c>
    </row>
    <row r="18" spans="1:6" ht="14.4" x14ac:dyDescent="0.3">
      <c r="A18" s="7" t="s">
        <v>23</v>
      </c>
      <c r="B18" s="1">
        <v>33.799999999999997</v>
      </c>
      <c r="C18" s="1">
        <v>101.3</v>
      </c>
      <c r="D18" s="1">
        <v>61.4</v>
      </c>
      <c r="E18" s="1">
        <v>124.4</v>
      </c>
      <c r="F18" s="1">
        <v>61.4</v>
      </c>
    </row>
    <row r="19" spans="1:6" ht="14.4" x14ac:dyDescent="0.3">
      <c r="A19" s="7" t="s">
        <v>24</v>
      </c>
      <c r="B19" s="1">
        <v>34.700000000000003</v>
      </c>
      <c r="C19" s="1">
        <v>106.1</v>
      </c>
      <c r="D19" s="1">
        <v>63.6</v>
      </c>
      <c r="E19" s="1">
        <v>128.6</v>
      </c>
      <c r="F19" s="1">
        <v>63.6</v>
      </c>
    </row>
    <row r="20" spans="1:6" ht="14.4" x14ac:dyDescent="0.3">
      <c r="A20" s="7" t="s">
        <v>28</v>
      </c>
      <c r="B20" s="1">
        <v>0</v>
      </c>
      <c r="C20" s="1">
        <v>0</v>
      </c>
      <c r="D20" s="1">
        <v>0</v>
      </c>
      <c r="E20" s="1">
        <v>0</v>
      </c>
      <c r="F20" s="1">
        <v>0</v>
      </c>
    </row>
    <row r="21" spans="1:6" ht="14.4" x14ac:dyDescent="0.3">
      <c r="A21" s="7" t="s">
        <v>57</v>
      </c>
      <c r="B21" s="1">
        <v>41.3</v>
      </c>
      <c r="C21" s="1">
        <v>124.4</v>
      </c>
      <c r="D21" s="1">
        <v>75</v>
      </c>
      <c r="E21" s="1">
        <v>151.5</v>
      </c>
      <c r="F21" s="1">
        <v>75</v>
      </c>
    </row>
    <row r="22" spans="1:6" ht="14.4" x14ac:dyDescent="0.3">
      <c r="A22" s="7" t="s">
        <v>58</v>
      </c>
      <c r="B22" s="1">
        <v>-1</v>
      </c>
      <c r="C22" s="1">
        <v>-1</v>
      </c>
      <c r="D22" s="1">
        <v>-1</v>
      </c>
      <c r="E22" s="1">
        <v>-1</v>
      </c>
      <c r="F22" s="1">
        <v>-1</v>
      </c>
    </row>
    <row r="23" spans="1:6" ht="14.4" x14ac:dyDescent="0.3">
      <c r="A23" s="7" t="s">
        <v>31</v>
      </c>
      <c r="B23" s="1">
        <v>45</v>
      </c>
      <c r="C23" s="1">
        <v>133.4</v>
      </c>
      <c r="D23" s="1">
        <v>79.400000000000006</v>
      </c>
      <c r="E23" s="1">
        <v>160.9</v>
      </c>
      <c r="F23" s="1">
        <v>79.400000000000006</v>
      </c>
    </row>
    <row r="24" spans="1:6" ht="14.4" x14ac:dyDescent="0.3">
      <c r="A24" s="7" t="s">
        <v>32</v>
      </c>
      <c r="B24" s="1">
        <v>-1</v>
      </c>
      <c r="C24" s="1">
        <v>-1</v>
      </c>
      <c r="D24" s="1">
        <v>-1</v>
      </c>
      <c r="E24" s="1">
        <v>-1</v>
      </c>
      <c r="F24" s="1">
        <v>-1</v>
      </c>
    </row>
    <row r="25" spans="1:6" ht="14.4" x14ac:dyDescent="0.3">
      <c r="A25" s="7" t="s">
        <v>34</v>
      </c>
      <c r="B25" s="1">
        <v>43.3</v>
      </c>
      <c r="C25" s="1">
        <v>128.6</v>
      </c>
      <c r="D25" s="1">
        <v>79.400000000000006</v>
      </c>
      <c r="E25" s="1">
        <v>160.9</v>
      </c>
      <c r="F25" s="1">
        <v>79.400000000000006</v>
      </c>
    </row>
    <row r="26" spans="1:6" ht="14.4" x14ac:dyDescent="0.3">
      <c r="A26" s="7" t="s">
        <v>37</v>
      </c>
      <c r="B26" s="1">
        <v>49.1</v>
      </c>
      <c r="C26" s="1">
        <v>146.80000000000001</v>
      </c>
      <c r="D26" s="1">
        <v>90.9</v>
      </c>
      <c r="E26" s="1">
        <v>183.5</v>
      </c>
      <c r="F26" s="1">
        <v>90.9</v>
      </c>
    </row>
    <row r="27" spans="1:6" ht="14.4" x14ac:dyDescent="0.3">
      <c r="A27" s="7" t="s">
        <v>39</v>
      </c>
      <c r="B27" s="1">
        <v>51.8</v>
      </c>
      <c r="C27" s="1">
        <v>156.4</v>
      </c>
      <c r="D27" s="1">
        <v>93.1</v>
      </c>
      <c r="E27" s="1">
        <v>188.1</v>
      </c>
      <c r="F27" s="1">
        <v>93.1</v>
      </c>
    </row>
    <row r="28" spans="1:6" ht="14.4" x14ac:dyDescent="0.3">
      <c r="A28" s="17" t="s">
        <v>82</v>
      </c>
      <c r="B28" s="1">
        <f>MIN(B6:B27)</f>
        <v>-1</v>
      </c>
      <c r="C28" s="1">
        <f>MIN(C6:C27)</f>
        <v>-1</v>
      </c>
      <c r="D28" s="1">
        <f t="shared" ref="C28:F28" si="0">MIN(D6:D27)</f>
        <v>-1</v>
      </c>
      <c r="E28" s="1">
        <f t="shared" si="0"/>
        <v>-1</v>
      </c>
      <c r="F28" s="1">
        <f t="shared" si="0"/>
        <v>-1</v>
      </c>
    </row>
    <row r="29" spans="1:6" ht="14.4" x14ac:dyDescent="0.3">
      <c r="A29" s="17" t="s">
        <v>83</v>
      </c>
      <c r="B29" s="1">
        <f>MAX(B6:B27)</f>
        <v>51.8</v>
      </c>
      <c r="C29" s="1">
        <f t="shared" ref="C29:F29" si="1">MAX(C6:C27)</f>
        <v>156.4</v>
      </c>
      <c r="D29" s="1">
        <f t="shared" si="1"/>
        <v>93.1</v>
      </c>
      <c r="E29" s="1">
        <f t="shared" si="1"/>
        <v>188.1</v>
      </c>
      <c r="F29" s="1">
        <f t="shared" si="1"/>
        <v>93.1</v>
      </c>
    </row>
    <row r="30" spans="1:6" ht="14.4" x14ac:dyDescent="0.3">
      <c r="A30" s="17" t="s">
        <v>84</v>
      </c>
      <c r="B30" s="1">
        <f>AVERAGE(B6:B27)</f>
        <v>20.827272727272728</v>
      </c>
      <c r="C30" s="1">
        <f t="shared" ref="C30:F30" si="2">AVERAGE(C6:C27)</f>
        <v>62.377272727272725</v>
      </c>
      <c r="D30" s="1">
        <f t="shared" si="2"/>
        <v>37.800000000000004</v>
      </c>
      <c r="E30" s="1">
        <f t="shared" si="2"/>
        <v>76.418181818181822</v>
      </c>
      <c r="F30" s="1">
        <f t="shared" si="2"/>
        <v>37.800000000000004</v>
      </c>
    </row>
    <row r="31" spans="1:6" ht="14.4" x14ac:dyDescent="0.3">
      <c r="B31" s="1"/>
      <c r="C31" s="1"/>
      <c r="D31" s="1"/>
      <c r="E31" s="1"/>
      <c r="F31" s="1"/>
    </row>
    <row r="32" spans="1:6" ht="14.4" x14ac:dyDescent="0.3">
      <c r="B32" s="1"/>
    </row>
    <row r="33" spans="2:2" ht="14.4" x14ac:dyDescent="0.3">
      <c r="B33" s="1"/>
    </row>
    <row r="34" spans="2:2" ht="14.4" x14ac:dyDescent="0.3">
      <c r="B34" s="1"/>
    </row>
    <row r="35" spans="2:2" ht="14.4" x14ac:dyDescent="0.3">
      <c r="B35" s="1"/>
    </row>
    <row r="36" spans="2:2" ht="14.4" x14ac:dyDescent="0.3">
      <c r="B36" s="1"/>
    </row>
    <row r="37" spans="2:2" ht="14.4" x14ac:dyDescent="0.3">
      <c r="B37" s="1"/>
    </row>
    <row r="38" spans="2:2" ht="14.4" x14ac:dyDescent="0.3">
      <c r="B38" s="1"/>
    </row>
    <row r="39" spans="2:2" ht="14.4" x14ac:dyDescent="0.3">
      <c r="B39" s="1"/>
    </row>
    <row r="40" spans="2:2" ht="14.4" x14ac:dyDescent="0.3">
      <c r="B40" s="1"/>
    </row>
    <row r="41" spans="2:2" ht="14.4" x14ac:dyDescent="0.3">
      <c r="B41" s="1"/>
    </row>
    <row r="42" spans="2:2" ht="14.4" x14ac:dyDescent="0.3">
      <c r="B42" s="1"/>
    </row>
    <row r="43" spans="2:2" ht="14.4" x14ac:dyDescent="0.3">
      <c r="B43" s="1"/>
    </row>
    <row r="44" spans="2:2" ht="14.4" x14ac:dyDescent="0.3">
      <c r="B44" s="1"/>
    </row>
  </sheetData>
  <conditionalFormatting sqref="B6">
    <cfRule type="duplicateValues" dxfId="1" priority="2"/>
  </conditionalFormatting>
  <conditionalFormatting sqref="B6">
    <cfRule type="cellIs" dxfId="0" priority="1"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6" zoomScaleNormal="100" workbookViewId="0">
      <selection activeCell="B6" sqref="B6"/>
    </sheetView>
  </sheetViews>
  <sheetFormatPr defaultColWidth="11" defaultRowHeight="14.4" x14ac:dyDescent="0.3"/>
  <cols>
    <col min="1" max="1" width="39.77734375" style="1" bestFit="1" customWidth="1"/>
    <col min="2" max="2" width="40.109375" style="1" customWidth="1"/>
    <col min="3" max="3" width="9.21875" style="1" customWidth="1"/>
    <col min="4" max="16384" width="11" style="1"/>
  </cols>
  <sheetData>
    <row r="1" spans="1:10" s="39" customFormat="1" ht="21" x14ac:dyDescent="0.4">
      <c r="A1" s="40" t="s">
        <v>56</v>
      </c>
      <c r="B1" s="39" t="s">
        <v>172</v>
      </c>
    </row>
    <row r="2" spans="1:10" customFormat="1" ht="13.2" x14ac:dyDescent="0.25"/>
    <row r="3" spans="1:10" s="2" customFormat="1" x14ac:dyDescent="0.3">
      <c r="B3" s="1"/>
    </row>
    <row r="4" spans="1:10" s="2" customFormat="1" x14ac:dyDescent="0.3">
      <c r="B4" s="1" t="s">
        <v>149</v>
      </c>
    </row>
    <row r="5" spans="1:10" ht="53.4" customHeight="1" x14ac:dyDescent="0.35">
      <c r="A5" s="41" t="s">
        <v>53</v>
      </c>
      <c r="B5" s="50" t="s">
        <v>197</v>
      </c>
      <c r="C5" s="50" t="s">
        <v>198</v>
      </c>
      <c r="D5" s="50" t="s">
        <v>199</v>
      </c>
      <c r="E5" s="50" t="s">
        <v>200</v>
      </c>
      <c r="F5" s="50" t="s">
        <v>201</v>
      </c>
    </row>
    <row r="6" spans="1:10" ht="111.6" customHeight="1" x14ac:dyDescent="0.35">
      <c r="A6" s="41" t="s">
        <v>151</v>
      </c>
      <c r="B6" s="49" t="s">
        <v>202</v>
      </c>
    </row>
    <row r="7" spans="1:10" ht="18" x14ac:dyDescent="0.35">
      <c r="A7" s="41"/>
      <c r="B7" s="38"/>
    </row>
    <row r="9" spans="1:10" ht="23.4" x14ac:dyDescent="0.45">
      <c r="A9" s="16" t="s">
        <v>163</v>
      </c>
      <c r="I9" s="2"/>
      <c r="J9" s="2"/>
    </row>
    <row r="10" spans="1:10" x14ac:dyDescent="0.3">
      <c r="A10" s="31" t="s">
        <v>100</v>
      </c>
      <c r="B10" s="15" t="s">
        <v>49</v>
      </c>
      <c r="C10" s="15" t="s">
        <v>50</v>
      </c>
      <c r="D10" s="15" t="s">
        <v>51</v>
      </c>
      <c r="E10" s="15" t="s">
        <v>52</v>
      </c>
      <c r="F10" s="15" t="s">
        <v>54</v>
      </c>
      <c r="I10" s="2"/>
      <c r="J10" s="2"/>
    </row>
    <row r="11" spans="1:10" x14ac:dyDescent="0.3">
      <c r="A11" s="8" t="s">
        <v>119</v>
      </c>
      <c r="B11" s="11">
        <v>20000</v>
      </c>
      <c r="C11" s="11" t="s">
        <v>5</v>
      </c>
      <c r="D11" s="11">
        <v>0</v>
      </c>
      <c r="E11" s="9" t="s">
        <v>6</v>
      </c>
      <c r="F11" s="9">
        <v>24</v>
      </c>
      <c r="I11" s="2"/>
      <c r="J11" s="2"/>
    </row>
    <row r="14" spans="1:10" ht="23.4" x14ac:dyDescent="0.45">
      <c r="A14" s="16" t="s">
        <v>160</v>
      </c>
    </row>
    <row r="15" spans="1:10" x14ac:dyDescent="0.3">
      <c r="A15" s="12" t="s">
        <v>101</v>
      </c>
      <c r="B15" s="15" t="s">
        <v>49</v>
      </c>
      <c r="C15" s="13" t="s">
        <v>50</v>
      </c>
      <c r="D15" s="15" t="s">
        <v>51</v>
      </c>
      <c r="E15" s="13" t="s">
        <v>52</v>
      </c>
      <c r="F15" s="15" t="s">
        <v>54</v>
      </c>
    </row>
    <row r="16" spans="1:10" x14ac:dyDescent="0.3">
      <c r="A16" s="7" t="s">
        <v>119</v>
      </c>
      <c r="B16" s="47" t="str">
        <f>TEXT(LEFT(A16, SEARCH("-", A16) - 1), "0")</f>
        <v>20000</v>
      </c>
      <c r="C16" s="1" t="str">
        <f>MID(A16, SEARCH("-", A16) + 1, SEARCH("-", A16, SEARCH("-", A16) + 1) - SEARCH("-", A16) - 1)</f>
        <v>Monday</v>
      </c>
      <c r="D16" s="47" t="str">
        <f>MID(A16, SEARCH("-", A16, SEARCH("-", A16) + 1) + 1, SEARCH("-", A16, SEARCH("-", A16, SEARCH("-", A16) + 1) + 1) - SEARCH("-", A16, SEARCH("-", A16) + 1) - 1)</f>
        <v>0</v>
      </c>
      <c r="E16" s="1" t="str">
        <f>MID(A16, SEARCH("-", A16, SEARCH("-", A16, SEARCH("-", A16) + 1) + 1) + 1, SEARCH("-", A16, SEARCH("-", A16, SEARCH("-", A16, SEARCH("-", A16) + 1) + 1) + 1) - SEARCH("-", A16, SEARCH("-", A16, SEARCH("-", A16) + 1) + 1) - 1)</f>
        <v>Sunday</v>
      </c>
      <c r="F16" s="47" t="str">
        <f>MID(A16, SEARCH("-", A16, SEARCH("-", A16, SEARCH("-", A16, SEARCH("-", A16) + 1) + 1) + 1) + 1, LEN(A16) - SEARCH("-", A16, SEARCH("-", A16, SEARCH("-", A16, SEARCH("-", A16) + 1) + 1) + 1))</f>
        <v>24</v>
      </c>
    </row>
    <row r="17" spans="1:6" x14ac:dyDescent="0.3">
      <c r="A17" s="7" t="s">
        <v>120</v>
      </c>
      <c r="B17" s="47" t="str">
        <f t="shared" ref="B17:B54" si="0">TEXT(LEFT(A17, SEARCH("-", A17) - 1), "0")</f>
        <v>20002</v>
      </c>
      <c r="C17" s="1" t="str">
        <f t="shared" ref="C17:C54" si="1">MID(A17, SEARCH("-", A17) + 1, SEARCH("-", A17, SEARCH("-", A17) + 1) - SEARCH("-", A17) - 1)</f>
        <v>Monday</v>
      </c>
      <c r="D17" s="47" t="str">
        <f t="shared" ref="D17:D54" si="2">MID(A17, SEARCH("-", A17, SEARCH("-", A17) + 1) + 1, SEARCH("-", A17, SEARCH("-", A17, SEARCH("-", A17) + 1) + 1) - SEARCH("-", A17, SEARCH("-", A17) + 1) - 1)</f>
        <v>0</v>
      </c>
      <c r="E17" s="1" t="str">
        <f>MID(A17, SEARCH("-", A17, SEARCH("-", A17, SEARCH("-", A17) + 1) + 1) + 1, SEARCH("-", A17, SEARCH("-", A17, SEARCH("-", A17, SEARCH("-", A17) + 1) + 1) + 1) - SEARCH("-", A17, SEARCH("-", A17, SEARCH("-", A17) + 1) + 1) - 1)</f>
        <v>Sunday</v>
      </c>
      <c r="F17" s="47" t="str">
        <f t="shared" ref="F17:F54" si="3">MID(A17, SEARCH("-", A17, SEARCH("-", A17, SEARCH("-", A17, SEARCH("-", A17) + 1) + 1) + 1) + 1, LEN(A17) - SEARCH("-", A17, SEARCH("-", A17, SEARCH("-", A17, SEARCH("-", A17) + 1) + 1) + 1))</f>
        <v>24</v>
      </c>
    </row>
    <row r="18" spans="1:6" x14ac:dyDescent="0.3">
      <c r="A18" s="7" t="s">
        <v>121</v>
      </c>
      <c r="B18" s="47" t="str">
        <f t="shared" si="0"/>
        <v>20004</v>
      </c>
      <c r="C18" s="1" t="str">
        <f t="shared" si="1"/>
        <v>Monday</v>
      </c>
      <c r="D18" s="47" t="str">
        <f t="shared" si="2"/>
        <v>0</v>
      </c>
      <c r="E18" s="1" t="str">
        <f t="shared" ref="E17:E54" si="4">MID(A18, SEARCH("-", A18, SEARCH("-", A18, SEARCH("-", A18) + 1) + 1) + 1, SEARCH("-", A18, SEARCH("-", A18, SEARCH("-", A18, SEARCH("-", A18) + 1) + 1) + 1) - SEARCH("-", A18, SEARCH("-", A18, SEARCH("-", A18) + 1) + 1) - 1)</f>
        <v>Sunday</v>
      </c>
      <c r="F18" s="47" t="str">
        <f t="shared" si="3"/>
        <v>24</v>
      </c>
    </row>
    <row r="19" spans="1:6" x14ac:dyDescent="0.3">
      <c r="A19" s="7" t="s">
        <v>122</v>
      </c>
      <c r="B19" s="47" t="str">
        <f t="shared" si="0"/>
        <v>20006</v>
      </c>
      <c r="C19" s="1" t="str">
        <f t="shared" si="1"/>
        <v>Monday</v>
      </c>
      <c r="D19" s="47" t="str">
        <f t="shared" si="2"/>
        <v>0</v>
      </c>
      <c r="E19" s="1" t="str">
        <f t="shared" si="4"/>
        <v>Sunday</v>
      </c>
      <c r="F19" s="47" t="str">
        <f t="shared" si="3"/>
        <v>24</v>
      </c>
    </row>
    <row r="20" spans="1:6" x14ac:dyDescent="0.3">
      <c r="A20" s="7" t="s">
        <v>123</v>
      </c>
      <c r="B20" s="47" t="str">
        <f t="shared" si="0"/>
        <v>20008</v>
      </c>
      <c r="C20" s="1" t="str">
        <f t="shared" si="1"/>
        <v>Monday</v>
      </c>
      <c r="D20" s="47" t="str">
        <f t="shared" si="2"/>
        <v>0</v>
      </c>
      <c r="E20" s="1" t="str">
        <f t="shared" si="4"/>
        <v>Sunday</v>
      </c>
      <c r="F20" s="47" t="str">
        <f t="shared" si="3"/>
        <v>24</v>
      </c>
    </row>
    <row r="21" spans="1:6" x14ac:dyDescent="0.3">
      <c r="A21" s="7" t="s">
        <v>124</v>
      </c>
      <c r="B21" s="47" t="str">
        <f t="shared" si="0"/>
        <v>20010</v>
      </c>
      <c r="C21" s="1" t="str">
        <f t="shared" si="1"/>
        <v>Monday</v>
      </c>
      <c r="D21" s="47" t="str">
        <f t="shared" si="2"/>
        <v>0</v>
      </c>
      <c r="E21" s="1" t="str">
        <f t="shared" si="4"/>
        <v>Sunday</v>
      </c>
      <c r="F21" s="47" t="str">
        <f t="shared" si="3"/>
        <v>24</v>
      </c>
    </row>
    <row r="22" spans="1:6" x14ac:dyDescent="0.3">
      <c r="A22" s="7" t="s">
        <v>125</v>
      </c>
      <c r="B22" s="47" t="str">
        <f t="shared" si="0"/>
        <v>20012</v>
      </c>
      <c r="C22" s="1" t="str">
        <f t="shared" si="1"/>
        <v>Monday</v>
      </c>
      <c r="D22" s="47" t="str">
        <f t="shared" si="2"/>
        <v>0</v>
      </c>
      <c r="E22" s="1" t="str">
        <f t="shared" si="4"/>
        <v>Sunday</v>
      </c>
      <c r="F22" s="47" t="str">
        <f t="shared" si="3"/>
        <v>24</v>
      </c>
    </row>
    <row r="23" spans="1:6" x14ac:dyDescent="0.3">
      <c r="A23" s="7" t="s">
        <v>126</v>
      </c>
      <c r="B23" s="47" t="str">
        <f t="shared" si="0"/>
        <v>20014</v>
      </c>
      <c r="C23" s="1" t="str">
        <f t="shared" si="1"/>
        <v>Monday</v>
      </c>
      <c r="D23" s="47" t="str">
        <f t="shared" si="2"/>
        <v>0</v>
      </c>
      <c r="E23" s="1" t="str">
        <f t="shared" si="4"/>
        <v>Sunday</v>
      </c>
      <c r="F23" s="47" t="str">
        <f t="shared" si="3"/>
        <v>24</v>
      </c>
    </row>
    <row r="24" spans="1:6" x14ac:dyDescent="0.3">
      <c r="A24" s="7" t="s">
        <v>127</v>
      </c>
      <c r="B24" s="47" t="str">
        <f t="shared" si="0"/>
        <v>20016</v>
      </c>
      <c r="C24" s="1" t="str">
        <f t="shared" si="1"/>
        <v>Monday</v>
      </c>
      <c r="D24" s="47" t="str">
        <f t="shared" si="2"/>
        <v>0</v>
      </c>
      <c r="E24" s="1" t="str">
        <f t="shared" si="4"/>
        <v>Sunday</v>
      </c>
      <c r="F24" s="47" t="str">
        <f t="shared" si="3"/>
        <v>24</v>
      </c>
    </row>
    <row r="25" spans="1:6" x14ac:dyDescent="0.3">
      <c r="A25" s="7" t="s">
        <v>128</v>
      </c>
      <c r="B25" s="47" t="str">
        <f t="shared" si="0"/>
        <v>20018</v>
      </c>
      <c r="C25" s="1" t="str">
        <f t="shared" si="1"/>
        <v>Monday</v>
      </c>
      <c r="D25" s="47" t="str">
        <f t="shared" si="2"/>
        <v>0</v>
      </c>
      <c r="E25" s="1" t="str">
        <f t="shared" si="4"/>
        <v>Sunday</v>
      </c>
      <c r="F25" s="47" t="str">
        <f t="shared" si="3"/>
        <v>24</v>
      </c>
    </row>
    <row r="26" spans="1:6" x14ac:dyDescent="0.3">
      <c r="A26" s="7" t="s">
        <v>129</v>
      </c>
      <c r="B26" s="47" t="str">
        <f t="shared" si="0"/>
        <v>20020</v>
      </c>
      <c r="C26" s="1" t="str">
        <f t="shared" si="1"/>
        <v>Monday</v>
      </c>
      <c r="D26" s="47" t="str">
        <f t="shared" si="2"/>
        <v>0</v>
      </c>
      <c r="E26" s="1" t="str">
        <f t="shared" si="4"/>
        <v>Sunday</v>
      </c>
      <c r="F26" s="47" t="str">
        <f t="shared" si="3"/>
        <v>24</v>
      </c>
    </row>
    <row r="27" spans="1:6" x14ac:dyDescent="0.3">
      <c r="A27" s="7" t="s">
        <v>130</v>
      </c>
      <c r="B27" s="47" t="str">
        <f t="shared" si="0"/>
        <v>20022</v>
      </c>
      <c r="C27" s="1" t="str">
        <f t="shared" si="1"/>
        <v>Monday</v>
      </c>
      <c r="D27" s="47" t="str">
        <f t="shared" si="2"/>
        <v>0</v>
      </c>
      <c r="E27" s="1" t="str">
        <f t="shared" si="4"/>
        <v>Sunday</v>
      </c>
      <c r="F27" s="47" t="str">
        <f t="shared" si="3"/>
        <v>24</v>
      </c>
    </row>
    <row r="28" spans="1:6" x14ac:dyDescent="0.3">
      <c r="A28" s="7" t="s">
        <v>131</v>
      </c>
      <c r="B28" s="47" t="str">
        <f t="shared" si="0"/>
        <v>20024</v>
      </c>
      <c r="C28" s="1" t="str">
        <f t="shared" si="1"/>
        <v>Monday</v>
      </c>
      <c r="D28" s="47" t="str">
        <f t="shared" si="2"/>
        <v>0</v>
      </c>
      <c r="E28" s="1" t="str">
        <f t="shared" si="4"/>
        <v>Sunday</v>
      </c>
      <c r="F28" s="47" t="str">
        <f t="shared" si="3"/>
        <v>24</v>
      </c>
    </row>
    <row r="29" spans="1:6" x14ac:dyDescent="0.3">
      <c r="A29" s="7" t="s">
        <v>132</v>
      </c>
      <c r="B29" s="47" t="str">
        <f t="shared" si="0"/>
        <v>20026</v>
      </c>
      <c r="C29" s="1" t="str">
        <f t="shared" si="1"/>
        <v>Monday</v>
      </c>
      <c r="D29" s="47" t="str">
        <f t="shared" si="2"/>
        <v>0</v>
      </c>
      <c r="E29" s="1" t="str">
        <f t="shared" si="4"/>
        <v>Sunday</v>
      </c>
      <c r="F29" s="47" t="str">
        <f t="shared" si="3"/>
        <v>24</v>
      </c>
    </row>
    <row r="30" spans="1:6" x14ac:dyDescent="0.3">
      <c r="A30" s="7" t="s">
        <v>133</v>
      </c>
      <c r="B30" s="47" t="str">
        <f t="shared" si="0"/>
        <v>20028</v>
      </c>
      <c r="C30" s="1" t="str">
        <f t="shared" si="1"/>
        <v>Monday</v>
      </c>
      <c r="D30" s="47" t="str">
        <f t="shared" si="2"/>
        <v>0</v>
      </c>
      <c r="E30" s="1" t="str">
        <f t="shared" si="4"/>
        <v>Sunday</v>
      </c>
      <c r="F30" s="47" t="str">
        <f t="shared" si="3"/>
        <v>24</v>
      </c>
    </row>
    <row r="31" spans="1:6" x14ac:dyDescent="0.3">
      <c r="A31" s="7" t="s">
        <v>134</v>
      </c>
      <c r="B31" s="47" t="str">
        <f t="shared" si="0"/>
        <v>20030</v>
      </c>
      <c r="C31" s="1" t="str">
        <f t="shared" si="1"/>
        <v>Monday</v>
      </c>
      <c r="D31" s="47" t="str">
        <f t="shared" si="2"/>
        <v>0</v>
      </c>
      <c r="E31" s="1" t="str">
        <f t="shared" si="4"/>
        <v>Sunday</v>
      </c>
      <c r="F31" s="47" t="str">
        <f t="shared" si="3"/>
        <v>24</v>
      </c>
    </row>
    <row r="32" spans="1:6" x14ac:dyDescent="0.3">
      <c r="A32" s="7" t="s">
        <v>135</v>
      </c>
      <c r="B32" s="47" t="str">
        <f t="shared" si="0"/>
        <v>20032</v>
      </c>
      <c r="C32" s="1" t="str">
        <f t="shared" si="1"/>
        <v>Monday</v>
      </c>
      <c r="D32" s="47" t="str">
        <f t="shared" si="2"/>
        <v>0</v>
      </c>
      <c r="E32" s="1" t="str">
        <f t="shared" si="4"/>
        <v>Sunday</v>
      </c>
      <c r="F32" s="47" t="str">
        <f t="shared" si="3"/>
        <v>24</v>
      </c>
    </row>
    <row r="33" spans="1:6" x14ac:dyDescent="0.3">
      <c r="A33" s="7" t="s">
        <v>136</v>
      </c>
      <c r="B33" s="47" t="str">
        <f t="shared" si="0"/>
        <v>20034</v>
      </c>
      <c r="C33" s="1" t="str">
        <f t="shared" si="1"/>
        <v>Monday</v>
      </c>
      <c r="D33" s="47" t="str">
        <f t="shared" si="2"/>
        <v>0</v>
      </c>
      <c r="E33" s="1" t="str">
        <f t="shared" si="4"/>
        <v>Sunday</v>
      </c>
      <c r="F33" s="47" t="str">
        <f t="shared" si="3"/>
        <v>24</v>
      </c>
    </row>
    <row r="34" spans="1:6" x14ac:dyDescent="0.3">
      <c r="A34" s="7" t="s">
        <v>137</v>
      </c>
      <c r="B34" s="47" t="str">
        <f t="shared" si="0"/>
        <v>20036</v>
      </c>
      <c r="C34" s="1" t="str">
        <f t="shared" si="1"/>
        <v>Monday</v>
      </c>
      <c r="D34" s="47" t="str">
        <f t="shared" si="2"/>
        <v>0</v>
      </c>
      <c r="E34" s="1" t="str">
        <f t="shared" si="4"/>
        <v>Sunday</v>
      </c>
      <c r="F34" s="47" t="str">
        <f t="shared" si="3"/>
        <v>24</v>
      </c>
    </row>
    <row r="35" spans="1:6" x14ac:dyDescent="0.3">
      <c r="A35" s="7" t="s">
        <v>138</v>
      </c>
      <c r="B35" s="47" t="str">
        <f t="shared" si="0"/>
        <v>20038</v>
      </c>
      <c r="C35" s="1" t="str">
        <f t="shared" si="1"/>
        <v>Monday</v>
      </c>
      <c r="D35" s="47" t="str">
        <f t="shared" si="2"/>
        <v>0</v>
      </c>
      <c r="E35" s="1" t="str">
        <f t="shared" si="4"/>
        <v>Sunday</v>
      </c>
      <c r="F35" s="47" t="str">
        <f t="shared" si="3"/>
        <v>24</v>
      </c>
    </row>
    <row r="36" spans="1:6" x14ac:dyDescent="0.3">
      <c r="A36" s="7" t="s">
        <v>139</v>
      </c>
      <c r="B36" s="47" t="str">
        <f t="shared" si="0"/>
        <v>20040</v>
      </c>
      <c r="C36" s="1" t="str">
        <f t="shared" si="1"/>
        <v>Monday</v>
      </c>
      <c r="D36" s="47" t="str">
        <f t="shared" si="2"/>
        <v>0</v>
      </c>
      <c r="E36" s="1" t="str">
        <f t="shared" si="4"/>
        <v>Sunday</v>
      </c>
      <c r="F36" s="47" t="str">
        <f t="shared" si="3"/>
        <v>24</v>
      </c>
    </row>
    <row r="37" spans="1:6" x14ac:dyDescent="0.3">
      <c r="A37" s="7" t="s">
        <v>140</v>
      </c>
      <c r="B37" s="47" t="str">
        <f t="shared" si="0"/>
        <v>20042</v>
      </c>
      <c r="C37" s="1" t="str">
        <f t="shared" si="1"/>
        <v>Monday</v>
      </c>
      <c r="D37" s="47" t="str">
        <f t="shared" si="2"/>
        <v>0</v>
      </c>
      <c r="E37" s="1" t="str">
        <f t="shared" si="4"/>
        <v>Sunday</v>
      </c>
      <c r="F37" s="47" t="str">
        <f t="shared" si="3"/>
        <v>24</v>
      </c>
    </row>
    <row r="38" spans="1:6" x14ac:dyDescent="0.3">
      <c r="A38" s="7" t="s">
        <v>141</v>
      </c>
      <c r="B38" s="47" t="str">
        <f t="shared" si="0"/>
        <v>20044</v>
      </c>
      <c r="C38" s="1" t="str">
        <f t="shared" si="1"/>
        <v>Monday</v>
      </c>
      <c r="D38" s="47" t="str">
        <f t="shared" si="2"/>
        <v>0</v>
      </c>
      <c r="E38" s="1" t="str">
        <f t="shared" si="4"/>
        <v>Sunday</v>
      </c>
      <c r="F38" s="47" t="str">
        <f t="shared" si="3"/>
        <v>24</v>
      </c>
    </row>
    <row r="39" spans="1:6" x14ac:dyDescent="0.3">
      <c r="A39" s="7" t="s">
        <v>142</v>
      </c>
      <c r="B39" s="47" t="str">
        <f t="shared" si="0"/>
        <v>20046</v>
      </c>
      <c r="C39" s="1" t="str">
        <f t="shared" si="1"/>
        <v>Monday</v>
      </c>
      <c r="D39" s="47" t="str">
        <f t="shared" si="2"/>
        <v>0</v>
      </c>
      <c r="E39" s="1" t="str">
        <f t="shared" si="4"/>
        <v>Sunday</v>
      </c>
      <c r="F39" s="47" t="str">
        <f t="shared" si="3"/>
        <v>24</v>
      </c>
    </row>
    <row r="40" spans="1:6" x14ac:dyDescent="0.3">
      <c r="A40" s="7" t="s">
        <v>143</v>
      </c>
      <c r="B40" s="47" t="str">
        <f t="shared" si="0"/>
        <v>20048</v>
      </c>
      <c r="C40" s="1" t="str">
        <f t="shared" si="1"/>
        <v>Monday</v>
      </c>
      <c r="D40" s="47" t="str">
        <f t="shared" si="2"/>
        <v>0</v>
      </c>
      <c r="E40" s="1" t="str">
        <f t="shared" si="4"/>
        <v>Sunday</v>
      </c>
      <c r="F40" s="47" t="str">
        <f t="shared" si="3"/>
        <v>24</v>
      </c>
    </row>
    <row r="41" spans="1:6" x14ac:dyDescent="0.3">
      <c r="A41" s="7" t="s">
        <v>144</v>
      </c>
      <c r="B41" s="47" t="str">
        <f t="shared" si="0"/>
        <v>20050</v>
      </c>
      <c r="C41" s="1" t="str">
        <f t="shared" si="1"/>
        <v>Monday</v>
      </c>
      <c r="D41" s="47" t="str">
        <f t="shared" si="2"/>
        <v>0</v>
      </c>
      <c r="E41" s="1" t="str">
        <f t="shared" si="4"/>
        <v>Sunday</v>
      </c>
      <c r="F41" s="47" t="str">
        <f t="shared" si="3"/>
        <v>24</v>
      </c>
    </row>
    <row r="42" spans="1:6" x14ac:dyDescent="0.3">
      <c r="A42" s="7" t="s">
        <v>145</v>
      </c>
      <c r="B42" s="47" t="str">
        <f t="shared" si="0"/>
        <v>20052</v>
      </c>
      <c r="C42" s="1" t="str">
        <f t="shared" si="1"/>
        <v>Monday</v>
      </c>
      <c r="D42" s="47" t="str">
        <f t="shared" si="2"/>
        <v>0</v>
      </c>
      <c r="E42" s="1" t="str">
        <f t="shared" si="4"/>
        <v>Sunday</v>
      </c>
      <c r="F42" s="47" t="str">
        <f t="shared" si="3"/>
        <v>24</v>
      </c>
    </row>
    <row r="43" spans="1:6" x14ac:dyDescent="0.3">
      <c r="A43" s="7" t="s">
        <v>146</v>
      </c>
      <c r="B43" s="47" t="str">
        <f t="shared" si="0"/>
        <v>20054</v>
      </c>
      <c r="C43" s="1" t="str">
        <f t="shared" si="1"/>
        <v>Monday</v>
      </c>
      <c r="D43" s="47" t="str">
        <f t="shared" si="2"/>
        <v>0</v>
      </c>
      <c r="E43" s="1" t="str">
        <f t="shared" si="4"/>
        <v>Sunday</v>
      </c>
      <c r="F43" s="47" t="str">
        <f t="shared" si="3"/>
        <v>24</v>
      </c>
    </row>
    <row r="44" spans="1:6" x14ac:dyDescent="0.3">
      <c r="A44" s="7" t="s">
        <v>147</v>
      </c>
      <c r="B44" s="47" t="str">
        <f t="shared" si="0"/>
        <v>20058</v>
      </c>
      <c r="C44" s="1" t="str">
        <f t="shared" si="1"/>
        <v>Monday</v>
      </c>
      <c r="D44" s="47" t="str">
        <f t="shared" si="2"/>
        <v>0</v>
      </c>
      <c r="E44" s="1" t="str">
        <f t="shared" si="4"/>
        <v>Sunday</v>
      </c>
      <c r="F44" s="47" t="str">
        <f t="shared" si="3"/>
        <v>24</v>
      </c>
    </row>
    <row r="45" spans="1:6" x14ac:dyDescent="0.3">
      <c r="A45" s="7" t="s">
        <v>148</v>
      </c>
      <c r="B45" s="47" t="str">
        <f t="shared" si="0"/>
        <v>20060</v>
      </c>
      <c r="C45" s="1" t="str">
        <f t="shared" si="1"/>
        <v>Monday</v>
      </c>
      <c r="D45" s="47" t="str">
        <f t="shared" si="2"/>
        <v>0</v>
      </c>
      <c r="E45" s="1" t="str">
        <f t="shared" si="4"/>
        <v>Sunday</v>
      </c>
      <c r="F45" s="47" t="str">
        <f t="shared" si="3"/>
        <v>24</v>
      </c>
    </row>
    <row r="46" spans="1:6" x14ac:dyDescent="0.3">
      <c r="A46" s="7" t="s">
        <v>110</v>
      </c>
      <c r="B46" s="47" t="str">
        <f t="shared" si="0"/>
        <v>21000</v>
      </c>
      <c r="C46" s="1" t="str">
        <f t="shared" si="1"/>
        <v>Monday</v>
      </c>
      <c r="D46" s="47" t="str">
        <f t="shared" si="2"/>
        <v>0</v>
      </c>
      <c r="E46" s="1" t="str">
        <f t="shared" si="4"/>
        <v>Sunday</v>
      </c>
      <c r="F46" s="47" t="str">
        <f t="shared" si="3"/>
        <v>24</v>
      </c>
    </row>
    <row r="47" spans="1:6" x14ac:dyDescent="0.3">
      <c r="A47" s="7" t="s">
        <v>111</v>
      </c>
      <c r="B47" s="47" t="str">
        <f t="shared" si="0"/>
        <v>21002</v>
      </c>
      <c r="C47" s="1" t="str">
        <f t="shared" si="1"/>
        <v>Monday</v>
      </c>
      <c r="D47" s="47" t="str">
        <f t="shared" si="2"/>
        <v>0</v>
      </c>
      <c r="E47" s="1" t="str">
        <f t="shared" si="4"/>
        <v>Sunday</v>
      </c>
      <c r="F47" s="47" t="str">
        <f t="shared" si="3"/>
        <v>24</v>
      </c>
    </row>
    <row r="48" spans="1:6" x14ac:dyDescent="0.3">
      <c r="A48" s="7" t="s">
        <v>112</v>
      </c>
      <c r="B48" s="47" t="str">
        <f t="shared" si="0"/>
        <v>21004</v>
      </c>
      <c r="C48" s="1" t="str">
        <f t="shared" si="1"/>
        <v>Monday</v>
      </c>
      <c r="D48" s="47" t="str">
        <f t="shared" si="2"/>
        <v>0</v>
      </c>
      <c r="E48" s="1" t="str">
        <f t="shared" si="4"/>
        <v>Sunday</v>
      </c>
      <c r="F48" s="47" t="str">
        <f t="shared" si="3"/>
        <v>24</v>
      </c>
    </row>
    <row r="49" spans="1:6" x14ac:dyDescent="0.3">
      <c r="A49" s="7" t="s">
        <v>113</v>
      </c>
      <c r="B49" s="47" t="str">
        <f t="shared" si="0"/>
        <v>21006</v>
      </c>
      <c r="C49" s="1" t="str">
        <f t="shared" si="1"/>
        <v>Monday</v>
      </c>
      <c r="D49" s="47" t="str">
        <f t="shared" si="2"/>
        <v>0</v>
      </c>
      <c r="E49" s="1" t="str">
        <f t="shared" si="4"/>
        <v>Sunday</v>
      </c>
      <c r="F49" s="47" t="str">
        <f t="shared" si="3"/>
        <v>24</v>
      </c>
    </row>
    <row r="50" spans="1:6" x14ac:dyDescent="0.3">
      <c r="A50" s="7" t="s">
        <v>114</v>
      </c>
      <c r="B50" s="47" t="str">
        <f t="shared" si="0"/>
        <v>21008</v>
      </c>
      <c r="C50" s="1" t="str">
        <f t="shared" si="1"/>
        <v>Monday</v>
      </c>
      <c r="D50" s="47" t="str">
        <f t="shared" si="2"/>
        <v>0</v>
      </c>
      <c r="E50" s="1" t="str">
        <f t="shared" si="4"/>
        <v>Sunday</v>
      </c>
      <c r="F50" s="47" t="str">
        <f t="shared" si="3"/>
        <v>24</v>
      </c>
    </row>
    <row r="51" spans="1:6" x14ac:dyDescent="0.3">
      <c r="A51" s="7" t="s">
        <v>115</v>
      </c>
      <c r="B51" s="47" t="str">
        <f t="shared" si="0"/>
        <v>21010</v>
      </c>
      <c r="C51" s="1" t="str">
        <f t="shared" si="1"/>
        <v>Monday</v>
      </c>
      <c r="D51" s="47" t="str">
        <f t="shared" si="2"/>
        <v>0</v>
      </c>
      <c r="E51" s="1" t="str">
        <f t="shared" si="4"/>
        <v>Sunday</v>
      </c>
      <c r="F51" s="47" t="str">
        <f t="shared" si="3"/>
        <v>24</v>
      </c>
    </row>
    <row r="52" spans="1:6" x14ac:dyDescent="0.3">
      <c r="A52" s="7" t="s">
        <v>116</v>
      </c>
      <c r="B52" s="47" t="str">
        <f t="shared" si="0"/>
        <v>21012</v>
      </c>
      <c r="C52" s="1" t="str">
        <f t="shared" si="1"/>
        <v>Monday</v>
      </c>
      <c r="D52" s="47" t="str">
        <f t="shared" si="2"/>
        <v>0</v>
      </c>
      <c r="E52" s="1" t="str">
        <f t="shared" si="4"/>
        <v>Sunday</v>
      </c>
      <c r="F52" s="47" t="str">
        <f t="shared" si="3"/>
        <v>24</v>
      </c>
    </row>
    <row r="53" spans="1:6" x14ac:dyDescent="0.3">
      <c r="A53" s="7" t="s">
        <v>117</v>
      </c>
      <c r="B53" s="47" t="str">
        <f t="shared" si="0"/>
        <v>21014</v>
      </c>
      <c r="C53" s="1" t="str">
        <f t="shared" si="1"/>
        <v>Monday</v>
      </c>
      <c r="D53" s="47" t="str">
        <f t="shared" si="2"/>
        <v>0</v>
      </c>
      <c r="E53" s="1" t="str">
        <f t="shared" si="4"/>
        <v>Sunday</v>
      </c>
      <c r="F53" s="47" t="str">
        <f t="shared" si="3"/>
        <v>24</v>
      </c>
    </row>
    <row r="54" spans="1:6" x14ac:dyDescent="0.3">
      <c r="A54" s="8" t="s">
        <v>118</v>
      </c>
      <c r="B54" s="47" t="str">
        <f t="shared" si="0"/>
        <v>21016</v>
      </c>
      <c r="C54" s="1" t="str">
        <f t="shared" si="1"/>
        <v>Monday</v>
      </c>
      <c r="D54" s="47" t="str">
        <f t="shared" si="2"/>
        <v>0</v>
      </c>
      <c r="E54" s="1" t="str">
        <f t="shared" si="4"/>
        <v>Sunday</v>
      </c>
      <c r="F54" s="47" t="str">
        <f t="shared" si="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D14" sqref="D14"/>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85</v>
      </c>
      <c r="B1" s="39" t="s">
        <v>165</v>
      </c>
    </row>
    <row r="2" spans="1:3" ht="18" x14ac:dyDescent="0.35">
      <c r="B2" s="38" t="s">
        <v>164</v>
      </c>
    </row>
    <row r="5" spans="1:3" ht="14.4" x14ac:dyDescent="0.3">
      <c r="B5" s="1" t="s">
        <v>149</v>
      </c>
    </row>
    <row r="6" spans="1:3" ht="14.4" x14ac:dyDescent="0.3">
      <c r="A6" s="3" t="s">
        <v>53</v>
      </c>
      <c r="B6" s="48" t="s">
        <v>196</v>
      </c>
    </row>
    <row r="7" spans="1:3" ht="43.2" x14ac:dyDescent="0.3">
      <c r="A7" s="3" t="s">
        <v>151</v>
      </c>
      <c r="B7" s="50" t="s">
        <v>203</v>
      </c>
    </row>
    <row r="10" spans="1:3" ht="23.4" x14ac:dyDescent="0.45">
      <c r="A10" s="16" t="s">
        <v>160</v>
      </c>
    </row>
    <row r="11" spans="1:3" ht="14.4" x14ac:dyDescent="0.3">
      <c r="A11" s="30" t="s">
        <v>86</v>
      </c>
      <c r="B11" s="15" t="s">
        <v>87</v>
      </c>
      <c r="C11" s="15" t="s">
        <v>88</v>
      </c>
    </row>
    <row r="12" spans="1:3" ht="14.4" x14ac:dyDescent="0.3">
      <c r="A12" s="30">
        <v>44927</v>
      </c>
      <c r="B12" s="15" t="s">
        <v>59</v>
      </c>
      <c r="C12" s="15">
        <v>200</v>
      </c>
    </row>
    <row r="13" spans="1:3" ht="14.4" x14ac:dyDescent="0.3">
      <c r="A13" s="30">
        <v>44928</v>
      </c>
      <c r="B13" s="15" t="s">
        <v>60</v>
      </c>
      <c r="C13" s="15">
        <v>20</v>
      </c>
    </row>
    <row r="14" spans="1:3" ht="14.4" x14ac:dyDescent="0.3">
      <c r="A14" s="30">
        <v>44929</v>
      </c>
      <c r="B14" s="15" t="s">
        <v>61</v>
      </c>
      <c r="C14" s="15">
        <v>50</v>
      </c>
    </row>
    <row r="15" spans="1:3" ht="14.4" x14ac:dyDescent="0.3">
      <c r="A15" s="30">
        <v>44930</v>
      </c>
      <c r="B15" s="15" t="s">
        <v>62</v>
      </c>
      <c r="C15" s="15">
        <v>20</v>
      </c>
    </row>
    <row r="16" spans="1:3" ht="14.4" x14ac:dyDescent="0.3">
      <c r="A16" s="30">
        <v>44931</v>
      </c>
      <c r="B16" s="15" t="s">
        <v>63</v>
      </c>
      <c r="C16" s="15">
        <v>10</v>
      </c>
    </row>
    <row r="17" spans="1:3" ht="14.4" x14ac:dyDescent="0.3">
      <c r="A17" s="30">
        <v>44932</v>
      </c>
      <c r="B17" s="15" t="s">
        <v>152</v>
      </c>
      <c r="C17" s="15">
        <v>150</v>
      </c>
    </row>
    <row r="18" spans="1:3" ht="14.4" x14ac:dyDescent="0.3">
      <c r="A18" s="30">
        <v>44933</v>
      </c>
      <c r="B18" s="15" t="s">
        <v>153</v>
      </c>
      <c r="C18" s="15">
        <v>80</v>
      </c>
    </row>
    <row r="19" spans="1:3" ht="14.4" x14ac:dyDescent="0.3">
      <c r="A19" s="30">
        <v>44934</v>
      </c>
      <c r="B19" s="15" t="s">
        <v>154</v>
      </c>
      <c r="C19" s="15">
        <v>20</v>
      </c>
    </row>
    <row r="20" spans="1:3" ht="14.4" x14ac:dyDescent="0.3">
      <c r="A20" s="30">
        <v>44935</v>
      </c>
      <c r="B20" s="15" t="s">
        <v>155</v>
      </c>
      <c r="C20" s="15">
        <v>30</v>
      </c>
    </row>
    <row r="21" spans="1:3" ht="14.4" x14ac:dyDescent="0.3">
      <c r="A21" s="30">
        <v>44936</v>
      </c>
      <c r="B21" s="15" t="s">
        <v>156</v>
      </c>
      <c r="C21" s="15">
        <v>20</v>
      </c>
    </row>
    <row r="22" spans="1:3" ht="14.4" x14ac:dyDescent="0.3">
      <c r="B22" s="15" t="s">
        <v>157</v>
      </c>
      <c r="C22" s="23">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10" zoomScaleNormal="100" workbookViewId="0">
      <selection activeCell="D30" sqref="D30"/>
    </sheetView>
  </sheetViews>
  <sheetFormatPr defaultColWidth="11" defaultRowHeight="13.8" x14ac:dyDescent="0.3"/>
  <cols>
    <col min="1" max="1" width="28.21875" style="2" bestFit="1" customWidth="1"/>
    <col min="2" max="16384" width="11" style="2"/>
  </cols>
  <sheetData>
    <row r="1" spans="1:14" ht="21" x14ac:dyDescent="0.4">
      <c r="A1" s="40" t="s">
        <v>98</v>
      </c>
      <c r="B1" s="39" t="s">
        <v>173</v>
      </c>
    </row>
    <row r="3" spans="1:14" ht="14.4" x14ac:dyDescent="0.3">
      <c r="B3" s="1" t="s">
        <v>149</v>
      </c>
    </row>
    <row r="4" spans="1:14" ht="18" x14ac:dyDescent="0.35">
      <c r="A4" s="41" t="s">
        <v>53</v>
      </c>
      <c r="B4" s="1"/>
    </row>
    <row r="5" spans="1:14" ht="18" x14ac:dyDescent="0.35">
      <c r="A5" s="41" t="s">
        <v>151</v>
      </c>
      <c r="B5" s="1"/>
    </row>
    <row r="6" spans="1:14" ht="14.4" x14ac:dyDescent="0.3">
      <c r="A6" s="3"/>
      <c r="B6" s="1"/>
    </row>
    <row r="8" spans="1:14" ht="23.4" x14ac:dyDescent="0.45">
      <c r="A8" s="16" t="s">
        <v>160</v>
      </c>
      <c r="M8" s="16" t="s">
        <v>161</v>
      </c>
    </row>
    <row r="9" spans="1:14" ht="14.4" x14ac:dyDescent="0.3">
      <c r="A9" s="24"/>
      <c r="B9" s="24" t="s">
        <v>89</v>
      </c>
      <c r="C9" s="24" t="s">
        <v>90</v>
      </c>
      <c r="D9" s="24" t="s">
        <v>91</v>
      </c>
      <c r="E9" s="24" t="s">
        <v>92</v>
      </c>
      <c r="F9" s="24" t="s">
        <v>93</v>
      </c>
      <c r="G9" s="24" t="s">
        <v>94</v>
      </c>
      <c r="H9" s="24" t="s">
        <v>95</v>
      </c>
      <c r="I9" s="24" t="s">
        <v>96</v>
      </c>
      <c r="J9" s="24" t="s">
        <v>97</v>
      </c>
      <c r="M9" s="17" t="s">
        <v>43</v>
      </c>
      <c r="N9" s="17" t="s">
        <v>99</v>
      </c>
    </row>
    <row r="10" spans="1:14" ht="14.4" x14ac:dyDescent="0.3">
      <c r="A10" s="24" t="s">
        <v>89</v>
      </c>
      <c r="B10" s="23">
        <v>-1</v>
      </c>
      <c r="C10" s="23">
        <v>95</v>
      </c>
      <c r="D10" s="23">
        <v>-1</v>
      </c>
      <c r="E10" s="23">
        <v>185</v>
      </c>
      <c r="F10" s="23">
        <v>255</v>
      </c>
      <c r="G10" s="23">
        <v>305</v>
      </c>
      <c r="H10" s="23">
        <v>415</v>
      </c>
      <c r="I10" s="23">
        <v>480</v>
      </c>
      <c r="J10" s="23">
        <v>525</v>
      </c>
      <c r="M10" s="10">
        <v>10100</v>
      </c>
      <c r="N10" s="10" t="s">
        <v>89</v>
      </c>
    </row>
    <row r="11" spans="1:14" ht="14.4" x14ac:dyDescent="0.3">
      <c r="A11" s="24" t="s">
        <v>90</v>
      </c>
      <c r="B11" s="23">
        <v>95</v>
      </c>
      <c r="C11" s="23">
        <v>-1</v>
      </c>
      <c r="D11" s="23">
        <v>-1</v>
      </c>
      <c r="E11" s="23">
        <v>90</v>
      </c>
      <c r="F11" s="23">
        <v>160</v>
      </c>
      <c r="G11" s="23">
        <v>210</v>
      </c>
      <c r="H11" s="23">
        <v>325</v>
      </c>
      <c r="I11" s="23">
        <v>390</v>
      </c>
      <c r="J11" s="23">
        <v>430</v>
      </c>
      <c r="M11" s="10">
        <v>10102</v>
      </c>
      <c r="N11" s="10" t="s">
        <v>90</v>
      </c>
    </row>
    <row r="12" spans="1:14" ht="14.4" x14ac:dyDescent="0.3">
      <c r="A12" s="24" t="s">
        <v>91</v>
      </c>
      <c r="B12" s="23">
        <v>-1</v>
      </c>
      <c r="C12" s="23">
        <v>-1</v>
      </c>
      <c r="D12" s="23">
        <v>-1</v>
      </c>
      <c r="E12" s="23">
        <v>60</v>
      </c>
      <c r="F12" s="23">
        <v>130</v>
      </c>
      <c r="G12" s="23">
        <v>180</v>
      </c>
      <c r="H12" s="23">
        <v>295</v>
      </c>
      <c r="I12" s="23">
        <v>355</v>
      </c>
      <c r="J12" s="23">
        <v>400</v>
      </c>
      <c r="M12" s="10">
        <v>10104</v>
      </c>
      <c r="N12" s="10" t="s">
        <v>91</v>
      </c>
    </row>
    <row r="13" spans="1:14" ht="14.4" x14ac:dyDescent="0.3">
      <c r="A13" s="24" t="s">
        <v>92</v>
      </c>
      <c r="B13" s="23">
        <v>185</v>
      </c>
      <c r="C13" s="23">
        <v>90</v>
      </c>
      <c r="D13" s="23">
        <v>60</v>
      </c>
      <c r="E13" s="23">
        <v>-1</v>
      </c>
      <c r="F13" s="23">
        <v>70</v>
      </c>
      <c r="G13" s="23">
        <v>120</v>
      </c>
      <c r="H13" s="23">
        <v>235</v>
      </c>
      <c r="I13" s="23">
        <v>300</v>
      </c>
      <c r="J13" s="23">
        <v>340</v>
      </c>
      <c r="M13" s="10">
        <v>10106</v>
      </c>
      <c r="N13" s="10" t="s">
        <v>92</v>
      </c>
    </row>
    <row r="14" spans="1:14" ht="14.4" x14ac:dyDescent="0.3">
      <c r="A14" s="24" t="s">
        <v>93</v>
      </c>
      <c r="B14" s="23">
        <v>255</v>
      </c>
      <c r="C14" s="23">
        <v>160</v>
      </c>
      <c r="D14" s="23">
        <v>130</v>
      </c>
      <c r="E14" s="23">
        <v>70</v>
      </c>
      <c r="F14" s="23">
        <v>-1</v>
      </c>
      <c r="G14" s="23">
        <v>50</v>
      </c>
      <c r="H14" s="23">
        <v>165</v>
      </c>
      <c r="I14" s="23">
        <v>230</v>
      </c>
      <c r="J14" s="23">
        <v>270</v>
      </c>
      <c r="M14" s="10">
        <v>10108</v>
      </c>
      <c r="N14" s="10" t="s">
        <v>93</v>
      </c>
    </row>
    <row r="15" spans="1:14" ht="14.4" x14ac:dyDescent="0.3">
      <c r="A15" s="24" t="s">
        <v>94</v>
      </c>
      <c r="B15" s="23">
        <v>305</v>
      </c>
      <c r="C15" s="23">
        <v>210</v>
      </c>
      <c r="D15" s="23">
        <v>180</v>
      </c>
      <c r="E15" s="23">
        <v>120</v>
      </c>
      <c r="F15" s="23">
        <v>50</v>
      </c>
      <c r="G15" s="23">
        <v>-1</v>
      </c>
      <c r="H15" s="23">
        <v>115</v>
      </c>
      <c r="I15" s="23">
        <v>180</v>
      </c>
      <c r="J15" s="23">
        <v>220</v>
      </c>
      <c r="M15" s="10">
        <v>10110</v>
      </c>
      <c r="N15" s="10" t="s">
        <v>94</v>
      </c>
    </row>
    <row r="16" spans="1:14" ht="14.4" x14ac:dyDescent="0.3">
      <c r="A16" s="24" t="s">
        <v>95</v>
      </c>
      <c r="B16" s="23">
        <v>415</v>
      </c>
      <c r="C16" s="23">
        <v>325</v>
      </c>
      <c r="D16" s="23">
        <v>295</v>
      </c>
      <c r="E16" s="23">
        <v>235</v>
      </c>
      <c r="F16" s="23">
        <v>165</v>
      </c>
      <c r="G16" s="23">
        <v>115</v>
      </c>
      <c r="H16" s="23">
        <v>-1</v>
      </c>
      <c r="I16" s="23">
        <v>65</v>
      </c>
      <c r="J16" s="23">
        <v>105</v>
      </c>
      <c r="M16" s="10">
        <v>10112</v>
      </c>
      <c r="N16" s="10" t="s">
        <v>95</v>
      </c>
    </row>
    <row r="17" spans="1:14" ht="14.4" x14ac:dyDescent="0.3">
      <c r="A17" s="24" t="s">
        <v>96</v>
      </c>
      <c r="B17" s="23">
        <v>480</v>
      </c>
      <c r="C17" s="23">
        <v>390</v>
      </c>
      <c r="D17" s="23">
        <v>355</v>
      </c>
      <c r="E17" s="23">
        <v>300</v>
      </c>
      <c r="F17" s="23">
        <v>230</v>
      </c>
      <c r="G17" s="23">
        <v>180</v>
      </c>
      <c r="H17" s="23">
        <v>65</v>
      </c>
      <c r="I17" s="23">
        <v>-1</v>
      </c>
      <c r="J17" s="23">
        <v>40</v>
      </c>
      <c r="M17" s="10">
        <v>10114</v>
      </c>
      <c r="N17" s="10" t="s">
        <v>96</v>
      </c>
    </row>
    <row r="18" spans="1:14" ht="14.4" x14ac:dyDescent="0.3">
      <c r="A18" s="24" t="s">
        <v>97</v>
      </c>
      <c r="B18" s="23">
        <v>525</v>
      </c>
      <c r="C18" s="23">
        <v>430</v>
      </c>
      <c r="D18" s="23">
        <v>400</v>
      </c>
      <c r="E18" s="23">
        <v>340</v>
      </c>
      <c r="F18" s="23">
        <v>270</v>
      </c>
      <c r="G18" s="23">
        <v>220</v>
      </c>
      <c r="H18" s="23">
        <v>105</v>
      </c>
      <c r="I18" s="23">
        <v>40</v>
      </c>
      <c r="J18" s="23">
        <v>-1</v>
      </c>
      <c r="M18" s="11">
        <v>10116</v>
      </c>
      <c r="N18" s="11" t="s">
        <v>97</v>
      </c>
    </row>
    <row r="21" spans="1:14" ht="23.4" x14ac:dyDescent="0.45">
      <c r="A21" s="16" t="s">
        <v>166</v>
      </c>
    </row>
    <row r="22" spans="1:14" ht="14.4" x14ac:dyDescent="0.3">
      <c r="A22" s="12" t="s">
        <v>204</v>
      </c>
      <c r="B22" s="15" t="s">
        <v>205</v>
      </c>
      <c r="C22" s="14" t="s">
        <v>100</v>
      </c>
    </row>
    <row r="23" spans="1:14" ht="14.4" x14ac:dyDescent="0.3">
      <c r="A23" s="7">
        <v>10100</v>
      </c>
      <c r="B23" s="10">
        <v>10102</v>
      </c>
      <c r="C23" s="42">
        <f t="array" ref="C23">MMULT(B10:C11, TRANSPOSE(B10:C11))</f>
        <v>9026</v>
      </c>
    </row>
    <row r="24" spans="1:14" ht="14.4" x14ac:dyDescent="0.3">
      <c r="A24" s="7">
        <v>10100</v>
      </c>
      <c r="B24" s="10">
        <v>10104</v>
      </c>
      <c r="C24" s="42">
        <f t="array" ref="C24">MMULT(B11:C12, TRANSPOSE(B11:C12))</f>
        <v>9026</v>
      </c>
    </row>
    <row r="25" spans="1:14" ht="14.4" x14ac:dyDescent="0.3">
      <c r="A25" s="7">
        <v>10108</v>
      </c>
      <c r="B25" s="10">
        <v>10102</v>
      </c>
      <c r="C25" s="42">
        <f t="array" ref="C25">MMULT(B12:C13, TRANSPOSE(B12:C13))</f>
        <v>2</v>
      </c>
    </row>
    <row r="26" spans="1:14" ht="14.4" x14ac:dyDescent="0.3">
      <c r="A26" s="7">
        <v>10100</v>
      </c>
      <c r="B26" s="10">
        <v>10106</v>
      </c>
      <c r="C26" s="42">
        <f t="array" ref="C26">MMULT(B13:C14, TRANSPOSE(B13:C14))</f>
        <v>42325</v>
      </c>
    </row>
    <row r="27" spans="1:14" ht="14.4" x14ac:dyDescent="0.3">
      <c r="A27" s="7">
        <v>10108</v>
      </c>
      <c r="B27" s="10">
        <v>10110</v>
      </c>
      <c r="C27" s="42">
        <f t="array" ref="C27">MMULT(B14:C15, TRANSPOSE(B14:C15))</f>
        <v>90625</v>
      </c>
    </row>
    <row r="28" spans="1:14" ht="14.4" x14ac:dyDescent="0.3">
      <c r="A28" s="7">
        <v>10102</v>
      </c>
      <c r="B28" s="10">
        <v>10104</v>
      </c>
      <c r="C28" s="42">
        <f t="array" ref="C28">MMULT(B15:C16, TRANSPOSE(B15:C16))</f>
        <v>137125</v>
      </c>
    </row>
    <row r="29" spans="1:14" ht="14.4" x14ac:dyDescent="0.3">
      <c r="A29" s="7">
        <v>10106</v>
      </c>
      <c r="B29" s="10">
        <v>10108</v>
      </c>
      <c r="C29" s="42">
        <f t="array" ref="C29">MMULT(B16:C17, TRANSPOSE(B16:C17))</f>
        <v>277850</v>
      </c>
    </row>
    <row r="30" spans="1:14" ht="14.4" x14ac:dyDescent="0.3">
      <c r="A30" s="7">
        <v>10102</v>
      </c>
      <c r="B30" s="10">
        <v>10106</v>
      </c>
      <c r="C30" s="42">
        <f t="array" ref="C30">MMULT(B17:C18, TRANSPOSE(B17:C18))</f>
        <v>382500</v>
      </c>
    </row>
    <row r="31" spans="1:14" ht="14.4" x14ac:dyDescent="0.3">
      <c r="A31" s="7">
        <v>10110</v>
      </c>
      <c r="B31" s="10">
        <v>10114</v>
      </c>
      <c r="C31" s="42" t="e">
        <f t="array" ref="C31">MMULT(B18:C19, TRANSPOSE(B18:C19))</f>
        <v>#VALUE!</v>
      </c>
    </row>
    <row r="32" spans="1:14" ht="14.4" x14ac:dyDescent="0.3">
      <c r="A32" s="7">
        <v>10104</v>
      </c>
      <c r="B32" s="10">
        <v>10106</v>
      </c>
      <c r="C32" s="42" t="e">
        <f t="array" ref="C32">MMULT(B19:C20, TRANSPOSE(B19:C20))</f>
        <v>#VALUE!</v>
      </c>
    </row>
    <row r="33" spans="1:3" ht="14.4" x14ac:dyDescent="0.3">
      <c r="A33" s="7">
        <v>10110</v>
      </c>
      <c r="B33" s="10">
        <v>10112</v>
      </c>
      <c r="C33" s="42" t="e">
        <f t="array" ref="C33">MMULT(B20:C21, TRANSPOSE(B20:C21))</f>
        <v>#VALUE!</v>
      </c>
    </row>
    <row r="34" spans="1:3" ht="14.4" x14ac:dyDescent="0.3">
      <c r="A34" s="7">
        <v>10100</v>
      </c>
      <c r="B34" s="10">
        <v>10114</v>
      </c>
      <c r="C34" s="42" t="e">
        <f t="array" ref="C34">MMULT(B21:C22, TRANSPOSE(B21:C22))</f>
        <v>#VALUE!</v>
      </c>
    </row>
    <row r="35" spans="1:3" ht="14.4" x14ac:dyDescent="0.3">
      <c r="A35" s="8">
        <v>10112</v>
      </c>
      <c r="B35" s="11">
        <v>10116</v>
      </c>
      <c r="C35" s="42" t="e">
        <f t="array" ref="C35">MMULT(B22:C23, TRANSPOSE(B22:C23))</f>
        <v>#VALUE!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Dataset</vt:lpstr>
      <vt:lpstr>Task_1</vt:lpstr>
      <vt:lpstr>Task_2</vt:lpstr>
      <vt:lpstr>Task_3</vt:lpstr>
      <vt:lpstr>Task_4</vt:lpstr>
      <vt:lpstr>Task_5</vt:lpstr>
      <vt:lpstr>Dataset!Criteria</vt:lpstr>
      <vt:lpstr>Dataset!Extract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Shivani Hundare</cp:lastModifiedBy>
  <dcterms:created xsi:type="dcterms:W3CDTF">2015-02-10T17:33:11Z</dcterms:created>
  <dcterms:modified xsi:type="dcterms:W3CDTF">2023-12-10T18:15:01Z</dcterms:modified>
</cp:coreProperties>
</file>